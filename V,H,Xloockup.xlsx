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SDC11\Desktop\jaydip\"/>
    </mc:Choice>
  </mc:AlternateContent>
  <xr:revisionPtr revIDLastSave="0" documentId="8_{6486C770-0B46-47EA-B36B-B519F96BE1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Sheet1!$A$21:$B$22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P19FhghreB6tPwAeEEM4ZLL1rq+XTPJCgqyfe59GmL0="/>
    </ext>
  </extLst>
</workbook>
</file>

<file path=xl/calcChain.xml><?xml version="1.0" encoding="utf-8"?>
<calcChain xmlns="http://schemas.openxmlformats.org/spreadsheetml/2006/main">
  <c r="M11" i="1" l="1"/>
  <c r="B19" i="1"/>
  <c r="Q6" i="1"/>
  <c r="E20" i="1"/>
  <c r="J11" i="1"/>
  <c r="Q18" i="1"/>
  <c r="S18" i="1" s="1"/>
  <c r="R18" i="1"/>
  <c r="T6" i="1"/>
  <c r="Q14" i="1"/>
  <c r="Q10" i="1"/>
  <c r="K15" i="1"/>
  <c r="J15" i="1"/>
  <c r="L15" i="1" s="1"/>
  <c r="E16" i="1"/>
  <c r="B22" i="1"/>
  <c r="E12" i="1"/>
  <c r="T18" i="1" l="1"/>
  <c r="M15" i="1"/>
</calcChain>
</file>

<file path=xl/sharedStrings.xml><?xml version="1.0" encoding="utf-8"?>
<sst xmlns="http://schemas.openxmlformats.org/spreadsheetml/2006/main" count="98" uniqueCount="53">
  <si>
    <t>EmployeeID</t>
  </si>
  <si>
    <t xml:space="preserve">Name </t>
  </si>
  <si>
    <t>Department</t>
  </si>
  <si>
    <t xml:space="preserve">Location </t>
  </si>
  <si>
    <t>Salary</t>
  </si>
  <si>
    <t>Joining 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</si>
  <si>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</si>
  <si>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</si>
  <si>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</si>
  <si>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</si>
  <si>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</si>
  <si>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</si>
  <si>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</si>
  <si>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</si>
  <si>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</si>
  <si>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</si>
  <si>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</si>
  <si>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</si>
  <si>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</si>
  <si>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</si>
  <si>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</si>
  <si>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</si>
  <si>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</si>
  <si>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</si>
  <si>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</si>
  <si>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</si>
  <si>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</si>
  <si>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</si>
  <si>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</si>
  <si>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</si>
  <si>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</si>
  <si>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</si>
  <si>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lyer</t>
  </si>
  <si>
    <t xml:space="preserve">Bangalore </t>
  </si>
  <si>
    <t>Name</t>
  </si>
  <si>
    <t>ID</t>
  </si>
  <si>
    <t>Location</t>
  </si>
  <si>
    <t>Bonus %</t>
  </si>
  <si>
    <t>Bonus</t>
  </si>
  <si>
    <t xml:space="preserve">Department </t>
  </si>
  <si>
    <t>salary</t>
  </si>
  <si>
    <t>bonus amount</t>
  </si>
  <si>
    <t>XLOOKUP</t>
  </si>
  <si>
    <t>EmloyeeID</t>
  </si>
  <si>
    <t>bouns amout</t>
  </si>
  <si>
    <t>VLOOKUP</t>
  </si>
  <si>
    <t>HLOOKUP</t>
  </si>
  <si>
    <t>Bonus%</t>
  </si>
  <si>
    <t xml:space="preserve">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</si>
  <si>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</t>
  </si>
  <si>
    <t>name</t>
  </si>
  <si>
    <t>E109</t>
  </si>
  <si>
    <t>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</si>
</sst>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rgb="FFFFFF0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A5A5A5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7" fillId="5" borderId="0" applyNumberFormat="0" applyBorder="0" applyAlignment="0" applyProtection="0"/>
    <xf numFmtId="0" fontId="8" fillId="6" borderId="5" applyNumberFormat="0" applyAlignment="0" applyProtection="0"/>
  </cellStyleXfs>
  <cellXfs count="25">
    <xf numFmtId="0" fontId="0" fillId="0" borderId="0" xfId="0"/>
    <xf numFmtId="0" fontId="4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vertical="center"/>
    </xf>
    <xf numFmtId="0" fontId="6" fillId="2" borderId="3" xfId="0" applyFont="1" applyFill="1" applyBorder="1" applyAlignment="1">
      <alignment horizontal="left" vertical="center" wrapText="1" indent="1"/>
    </xf>
    <xf numFmtId="9" fontId="6" fillId="2" borderId="3" xfId="0" applyNumberFormat="1" applyFont="1" applyFill="1" applyBorder="1" applyAlignment="1">
      <alignment horizontal="right" vertical="center" wrapText="1" indent="1"/>
    </xf>
    <xf numFmtId="0" fontId="2" fillId="0" borderId="0" xfId="0" applyFont="1"/>
    <xf numFmtId="9" fontId="0" fillId="0" borderId="0" xfId="1" applyFont="1"/>
    <xf numFmtId="0" fontId="2" fillId="0" borderId="4" xfId="0" applyFont="1" applyBorder="1"/>
    <xf numFmtId="9" fontId="0" fillId="0" borderId="4" xfId="1" applyFont="1" applyBorder="1"/>
    <xf numFmtId="0" fontId="0" fillId="0" borderId="4" xfId="0" applyBorder="1"/>
    <xf numFmtId="0" fontId="4" fillId="0" borderId="4" xfId="0" applyFont="1" applyBorder="1"/>
    <xf numFmtId="0" fontId="3" fillId="3" borderId="1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right" vertical="center" wrapText="1" indent="1"/>
    </xf>
    <xf numFmtId="0" fontId="1" fillId="0" borderId="4" xfId="0" applyFont="1" applyBorder="1"/>
    <xf numFmtId="0" fontId="0" fillId="0" borderId="4" xfId="0" applyBorder="1" applyAlignment="1">
      <alignment horizontal="center"/>
    </xf>
    <xf numFmtId="0" fontId="7" fillId="5" borderId="2" xfId="2" applyBorder="1"/>
    <xf numFmtId="0" fontId="7" fillId="5" borderId="4" xfId="2" applyBorder="1"/>
    <xf numFmtId="0" fontId="7" fillId="5" borderId="0" xfId="2" applyAlignment="1">
      <alignment horizontal="center"/>
    </xf>
    <xf numFmtId="0" fontId="8" fillId="6" borderId="5" xfId="3"/>
    <xf numFmtId="0" fontId="8" fillId="6" borderId="5" xfId="3" applyAlignment="1">
      <alignment horizontal="center" vertical="center"/>
    </xf>
    <xf numFmtId="0" fontId="8" fillId="6" borderId="6" xfId="3" applyBorder="1" applyAlignment="1">
      <alignment horizontal="center"/>
    </xf>
    <xf numFmtId="0" fontId="8" fillId="6" borderId="7" xfId="3" applyBorder="1" applyAlignment="1">
      <alignment horizontal="center"/>
    </xf>
    <xf numFmtId="0" fontId="8" fillId="6" borderId="5" xfId="3" applyAlignment="1">
      <alignment horizontal="left" vertical="center" wrapText="1" indent="1"/>
    </xf>
  </cellXfs>
  <cellStyles count="4">
    <cellStyle name="Check Cell" xfId="3" builtinId="23"/>
    <cellStyle name="Good" xfId="2" builtinId="26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zoomScale="115" zoomScaleNormal="115" workbookViewId="0">
      <selection activeCell="H18" sqref="H18"/>
    </sheetView>
  </sheetViews>
  <sheetFormatPr defaultColWidth="14.42578125" defaultRowHeight="15" customHeight="1" x14ac:dyDescent="0.25"/>
  <cols>
    <col min="1" max="1" width="11.7109375" customWidth="1"/>
    <col min="2" max="2" width="13.5703125" customWidth="1"/>
    <col min="3" max="3" width="11.7109375" customWidth="1"/>
    <col min="4" max="4" width="10.5703125" customWidth="1"/>
    <col min="5" max="5" width="12.42578125" customWidth="1"/>
    <col min="6" max="6" width="11.5703125" customWidth="1"/>
    <col min="7" max="7" width="9.140625" customWidth="1"/>
    <col min="8" max="8" width="14.28515625" customWidth="1"/>
    <col min="9" max="9" width="14.7109375" bestFit="1" customWidth="1"/>
    <col min="10" max="10" width="11.28515625" bestFit="1" customWidth="1"/>
    <col min="11" max="11" width="13.140625" customWidth="1"/>
    <col min="12" max="12" width="9.7109375" bestFit="1" customWidth="1"/>
    <col min="13" max="13" width="12.7109375" bestFit="1" customWidth="1"/>
    <col min="14" max="15" width="8.7109375" customWidth="1"/>
    <col min="16" max="16" width="13.42578125" bestFit="1" customWidth="1"/>
    <col min="17" max="17" width="12" bestFit="1" customWidth="1"/>
    <col min="18" max="18" width="8.7109375" customWidth="1"/>
    <col min="19" max="19" width="10.7109375" bestFit="1" customWidth="1"/>
    <col min="20" max="20" width="13.140625" bestFit="1" customWidth="1"/>
    <col min="21" max="26" width="8.7109375" customWidth="1"/>
  </cols>
  <sheetData>
    <row r="1" spans="1:20" ht="15.75" thickBo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spans="1:20" ht="16.5" thickTop="1" thickBot="1" x14ac:dyDescent="0.3">
      <c r="A2" s="1" t="s">
        <v>6</v>
      </c>
      <c r="B2" s="1" t="s">
        <v>7</v>
      </c>
      <c r="C2" s="1" t="s">
        <v>8</v>
      </c>
      <c r="D2" s="1" t="s">
        <v>9</v>
      </c>
      <c r="E2" s="1">
        <v>45000</v>
      </c>
      <c r="F2" s="1">
        <v>2019</v>
      </c>
      <c r="H2" s="13" t="s">
        <v>2</v>
      </c>
      <c r="I2" s="14" t="s">
        <v>8</v>
      </c>
      <c r="J2" s="14" t="s">
        <v>12</v>
      </c>
      <c r="K2" s="14" t="s">
        <v>16</v>
      </c>
      <c r="L2" s="14" t="s">
        <v>20</v>
      </c>
      <c r="M2" s="14" t="s">
        <v>24</v>
      </c>
      <c r="P2" s="22" t="s">
        <v>42</v>
      </c>
    </row>
    <row r="3" spans="1:20" ht="15.75" thickBot="1" x14ac:dyDescent="0.3">
      <c r="A3" s="1" t="s">
        <v>10</v>
      </c>
      <c r="B3" s="1" t="s">
        <v>11</v>
      </c>
      <c r="C3" s="1" t="s">
        <v>12</v>
      </c>
      <c r="D3" s="1" t="s">
        <v>13</v>
      </c>
      <c r="E3" s="1">
        <v>52000</v>
      </c>
      <c r="F3" s="1">
        <v>2018</v>
      </c>
      <c r="H3" s="4" t="s">
        <v>37</v>
      </c>
      <c r="I3" s="5">
        <v>0.1</v>
      </c>
      <c r="J3" s="5">
        <v>0.08</v>
      </c>
      <c r="K3" s="5">
        <v>0.12</v>
      </c>
      <c r="L3" s="5">
        <v>0.15</v>
      </c>
      <c r="M3" s="5">
        <v>0.09</v>
      </c>
      <c r="P3" s="23"/>
    </row>
    <row r="4" spans="1:20" ht="15.75" thickBot="1" x14ac:dyDescent="0.3">
      <c r="A4" s="1" t="s">
        <v>14</v>
      </c>
      <c r="B4" s="1" t="s">
        <v>15</v>
      </c>
      <c r="C4" s="1" t="s">
        <v>16</v>
      </c>
      <c r="D4" s="1" t="s">
        <v>17</v>
      </c>
      <c r="E4" s="1">
        <v>65000</v>
      </c>
      <c r="F4" s="1">
        <v>2020</v>
      </c>
    </row>
    <row r="5" spans="1:20" ht="16.5" thickTop="1" thickBot="1" x14ac:dyDescent="0.3">
      <c r="A5" s="1" t="s">
        <v>18</v>
      </c>
      <c r="B5" s="1" t="s">
        <v>19</v>
      </c>
      <c r="C5" s="1" t="s">
        <v>20</v>
      </c>
      <c r="D5" s="1" t="s">
        <v>21</v>
      </c>
      <c r="E5" s="1">
        <v>58000</v>
      </c>
      <c r="F5" s="1">
        <v>2017</v>
      </c>
      <c r="P5" s="20" t="s">
        <v>0</v>
      </c>
      <c r="Q5" s="20" t="s">
        <v>40</v>
      </c>
      <c r="S5" s="20" t="s">
        <v>43</v>
      </c>
      <c r="T5" s="20" t="s">
        <v>34</v>
      </c>
    </row>
    <row r="6" spans="1:20" ht="16.5" thickTop="1" thickBot="1" x14ac:dyDescent="0.3">
      <c r="A6" s="1" t="s">
        <v>22</v>
      </c>
      <c r="B6" s="1" t="s">
        <v>23</v>
      </c>
      <c r="C6" s="1" t="s">
        <v>24</v>
      </c>
      <c r="D6" s="1" t="s">
        <v>9</v>
      </c>
      <c r="E6" s="1">
        <v>48000</v>
      </c>
      <c r="F6" s="1">
        <v>2021</v>
      </c>
      <c r="I6" s="20" t="s">
        <v>46</v>
      </c>
      <c r="P6" s="8" t="s">
        <v>14</v>
      </c>
      <c r="Q6" s="10">
        <f>_xlfn.XLOOKUP(P6,A2:A9,E2:E9,"not found")</f>
        <v>65000</v>
      </c>
      <c r="S6" s="15" t="s">
        <v>6</v>
      </c>
      <c r="T6" s="10" t="str">
        <f>_xlfn.XLOOKUP(S6,A2:A9,B2:B9,"not found")</f>
        <v>Rahul Sharma</v>
      </c>
    </row>
    <row r="7" spans="1:20" ht="15.75" thickTop="1" x14ac:dyDescent="0.25">
      <c r="A7" s="1" t="s">
        <v>25</v>
      </c>
      <c r="B7" s="1" t="s">
        <v>26</v>
      </c>
      <c r="C7" s="1" t="s">
        <v>16</v>
      </c>
      <c r="D7" s="1" t="s">
        <v>27</v>
      </c>
      <c r="E7" s="1">
        <v>62000</v>
      </c>
      <c r="F7" s="1">
        <v>2019</v>
      </c>
    </row>
    <row r="8" spans="1:20" ht="15.75" thickBot="1" x14ac:dyDescent="0.3">
      <c r="A8" s="1" t="s">
        <v>28</v>
      </c>
      <c r="B8" s="1" t="s">
        <v>29</v>
      </c>
      <c r="C8" s="1" t="s">
        <v>8</v>
      </c>
      <c r="D8" s="1" t="s">
        <v>30</v>
      </c>
      <c r="E8" s="1">
        <v>47000</v>
      </c>
      <c r="F8" s="1">
        <v>2020</v>
      </c>
    </row>
    <row r="9" spans="1:20" ht="16.5" thickTop="1" thickBot="1" x14ac:dyDescent="0.3">
      <c r="A9" s="1" t="s">
        <v>31</v>
      </c>
      <c r="B9" s="1" t="s">
        <v>32</v>
      </c>
      <c r="C9" s="1" t="s">
        <v>12</v>
      </c>
      <c r="D9" s="1" t="s">
        <v>33</v>
      </c>
      <c r="E9" s="1">
        <v>54000</v>
      </c>
      <c r="F9" s="1">
        <v>2016</v>
      </c>
      <c r="P9" s="20" t="s">
        <v>34</v>
      </c>
      <c r="Q9" s="20" t="s">
        <v>2</v>
      </c>
    </row>
    <row r="10" spans="1:20" ht="15" customHeight="1" thickTop="1" thickBot="1" x14ac:dyDescent="0.3">
      <c r="I10" s="20" t="s">
        <v>2</v>
      </c>
      <c r="J10" s="16" t="s">
        <v>16</v>
      </c>
      <c r="L10" s="20" t="s">
        <v>39</v>
      </c>
      <c r="M10" s="10" t="s">
        <v>52</v>
      </c>
      <c r="P10" s="11" t="s">
        <v>19</v>
      </c>
      <c r="Q10" s="10" t="str">
        <f>_xlfn.XLOOKUP(P10,B2:B9,C2:C9,"not found")</f>
        <v>Finance</v>
      </c>
    </row>
    <row r="11" spans="1:20" ht="15" customHeight="1" thickTop="1" thickBot="1" x14ac:dyDescent="0.3">
      <c r="D11" s="17" t="s">
        <v>35</v>
      </c>
      <c r="E11" s="17" t="s">
        <v>34</v>
      </c>
      <c r="I11" s="20" t="s">
        <v>47</v>
      </c>
      <c r="J11" s="9">
        <f>HLOOKUP(J10,H2:M3,2,0)</f>
        <v>0.12</v>
      </c>
      <c r="L11" s="20" t="s">
        <v>47</v>
      </c>
      <c r="M11" s="9" t="str">
        <f>IFERROR(HLOOKUP(M10,H2:M3,2,0),"not found")</f>
        <v>not found</v>
      </c>
    </row>
    <row r="12" spans="1:20" ht="15" customHeight="1" thickTop="1" thickBot="1" x14ac:dyDescent="0.3">
      <c r="A12" s="19" t="s">
        <v>45</v>
      </c>
      <c r="B12" s="19"/>
      <c r="D12" s="2" t="s">
        <v>14</v>
      </c>
      <c r="E12" s="2" t="str">
        <f>VLOOKUP(D12,A1:F9,2,0)</f>
        <v>Rohit Verma</v>
      </c>
    </row>
    <row r="13" spans="1:20" ht="15" customHeight="1" thickTop="1" thickBot="1" x14ac:dyDescent="0.3">
      <c r="P13" s="20" t="s">
        <v>34</v>
      </c>
      <c r="Q13" s="20" t="s">
        <v>36</v>
      </c>
    </row>
    <row r="14" spans="1:20" ht="16.5" thickTop="1" thickBot="1" x14ac:dyDescent="0.3">
      <c r="A14" s="17" t="s">
        <v>34</v>
      </c>
      <c r="B14" s="17" t="s">
        <v>4</v>
      </c>
      <c r="I14" s="20" t="s">
        <v>0</v>
      </c>
      <c r="J14" s="20" t="s">
        <v>39</v>
      </c>
      <c r="K14" s="21" t="s">
        <v>40</v>
      </c>
      <c r="L14" s="20" t="s">
        <v>38</v>
      </c>
      <c r="M14" s="20" t="s">
        <v>41</v>
      </c>
      <c r="P14" s="11" t="s">
        <v>11</v>
      </c>
      <c r="Q14" s="10" t="str">
        <f>_xlfn.XLOOKUP(P14,B2:B9,D2:D9,"not found")</f>
        <v>Delhi</v>
      </c>
    </row>
    <row r="15" spans="1:20" ht="15.75" thickTop="1" x14ac:dyDescent="0.25">
      <c r="A15" s="2" t="s">
        <v>23</v>
      </c>
      <c r="B15" s="2">
        <v>65000</v>
      </c>
      <c r="D15" s="18" t="s">
        <v>0</v>
      </c>
      <c r="E15" s="18" t="s">
        <v>5</v>
      </c>
      <c r="I15" s="8" t="s">
        <v>22</v>
      </c>
      <c r="J15" s="10" t="str">
        <f>VLOOKUP(I15,A1:F9,3,0)</f>
        <v>Marketing</v>
      </c>
      <c r="K15" s="10">
        <f>VLOOKUP(I15,A1:F9,5,0)</f>
        <v>48000</v>
      </c>
      <c r="L15" s="9">
        <f>HLOOKUP(J15,H2:M3,2,0)</f>
        <v>0.09</v>
      </c>
      <c r="M15" s="10">
        <f>K15*L15</f>
        <v>4320</v>
      </c>
    </row>
    <row r="16" spans="1:20" ht="15" customHeight="1" thickBot="1" x14ac:dyDescent="0.3">
      <c r="D16" s="10" t="s">
        <v>22</v>
      </c>
      <c r="E16" s="10">
        <f>VLOOKUP(D16,A1:F9,6,0)</f>
        <v>2021</v>
      </c>
    </row>
    <row r="17" spans="1:20" ht="15" customHeight="1" thickTop="1" thickBot="1" x14ac:dyDescent="0.3">
      <c r="P17" s="20" t="s">
        <v>0</v>
      </c>
      <c r="Q17" s="20" t="s">
        <v>2</v>
      </c>
      <c r="R17" s="20" t="s">
        <v>4</v>
      </c>
      <c r="S17" s="24" t="s">
        <v>37</v>
      </c>
      <c r="T17" s="20" t="s">
        <v>44</v>
      </c>
    </row>
    <row r="18" spans="1:20" ht="15.75" thickTop="1" x14ac:dyDescent="0.25">
      <c r="A18" s="17" t="s">
        <v>0</v>
      </c>
      <c r="B18" s="17" t="s">
        <v>36</v>
      </c>
      <c r="P18" s="6" t="s">
        <v>10</v>
      </c>
      <c r="Q18" s="6" t="str">
        <f>_xlfn.XLOOKUP(P18,A2:A9,C2:C9,"not found")</f>
        <v>HR</v>
      </c>
      <c r="R18">
        <f>_xlfn.XLOOKUP(P18,A2:A9,E2:E9,"not found")</f>
        <v>52000</v>
      </c>
      <c r="S18" s="7">
        <f>HLOOKUP(Q18,H2:M3,2,0)</f>
        <v>0.08</v>
      </c>
      <c r="T18">
        <f>R18*S18</f>
        <v>4160</v>
      </c>
    </row>
    <row r="19" spans="1:20" x14ac:dyDescent="0.25">
      <c r="A19" s="2" t="s">
        <v>10</v>
      </c>
      <c r="B19" s="2" t="str">
        <f>VLOOKUP(A19,A1:F9,4,0)</f>
        <v>Delhi</v>
      </c>
      <c r="D19" s="18" t="s">
        <v>0</v>
      </c>
      <c r="E19" s="18" t="s">
        <v>50</v>
      </c>
    </row>
    <row r="20" spans="1:20" ht="15" customHeight="1" x14ac:dyDescent="0.25">
      <c r="D20" s="10" t="s">
        <v>51</v>
      </c>
      <c r="E20" s="10" t="str">
        <f>IFERROR(VLOOKUP(D20,A1:F9,2,0),"not found")</f>
        <v>not found</v>
      </c>
    </row>
    <row r="21" spans="1:20" ht="15.75" customHeight="1" x14ac:dyDescent="0.25">
      <c r="A21" s="17" t="s">
        <v>35</v>
      </c>
      <c r="B21" s="17" t="s">
        <v>2</v>
      </c>
      <c r="D21" t="s">
        <v>49</v>
      </c>
    </row>
    <row r="22" spans="1:20" ht="15.75" customHeight="1" x14ac:dyDescent="0.25">
      <c r="A22" s="3" t="s">
        <v>18</v>
      </c>
      <c r="B22" s="2" t="str">
        <f>VLOOKUP(A22,A1:F9,3,0)</f>
        <v>Finance</v>
      </c>
      <c r="D22" t="s">
        <v>48</v>
      </c>
    </row>
    <row r="23" spans="1:20" ht="15.75" customHeight="1" x14ac:dyDescent="0.25"/>
    <row r="24" spans="1:20" ht="15.75" customHeight="1" x14ac:dyDescent="0.25"/>
    <row r="25" spans="1:20" ht="15.75" customHeight="1" x14ac:dyDescent="0.25"/>
    <row r="26" spans="1:20" ht="15.75" customHeight="1" x14ac:dyDescent="0.25"/>
    <row r="27" spans="1:20" ht="15.75" customHeight="1" x14ac:dyDescent="0.25"/>
    <row r="28" spans="1:20" ht="15.75" customHeight="1" x14ac:dyDescent="0.25"/>
    <row r="29" spans="1:20" ht="15.75" customHeight="1" x14ac:dyDescent="0.25"/>
    <row r="30" spans="1:20" ht="15.75" customHeight="1" x14ac:dyDescent="0.25"/>
    <row r="31" spans="1:20" ht="15.75" customHeight="1" x14ac:dyDescent="0.25"/>
    <row r="32" spans="1:2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P2:P3"/>
    <mergeCell ref="A12:B12"/>
  </mergeCells>
  <dataValidations count="5">
    <dataValidation type="list" allowBlank="1" showErrorMessage="1" sqref="A18:A19 B18" xr:uid="{00000000-0002-0000-0000-000000000000}">
      <formula1>$A$1:$A$9</formula1>
    </dataValidation>
    <dataValidation type="list" allowBlank="1" showErrorMessage="1" sqref="D12 A22" xr:uid="{00000000-0002-0000-0000-000001000000}">
      <formula1>$A$2:$A$9</formula1>
    </dataValidation>
    <dataValidation type="list" allowBlank="1" showInputMessage="1" showErrorMessage="1" sqref="P18 S6 I15 D16 P6" xr:uid="{593E0968-5DC4-4DDC-9432-9EAA99CEE951}">
      <formula1>$A$2:$A$9</formula1>
    </dataValidation>
    <dataValidation type="list" allowBlank="1" showInputMessage="1" showErrorMessage="1" sqref="A15 P14 P10" xr:uid="{D76EA1D5-6A0F-4CEB-AB45-61C1730BC056}">
      <formula1>$B$2:$B$9</formula1>
    </dataValidation>
    <dataValidation type="list" allowBlank="1" showInputMessage="1" showErrorMessage="1" sqref="J10" xr:uid="{C02FE447-0540-4EF5-AE58-CF0365D9832C}">
      <formula1>$I$2:$M$2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ASDC38</dc:creator>
  <cp:lastModifiedBy>ASDC11</cp:lastModifiedBy>
  <dcterms:created xsi:type="dcterms:W3CDTF">2026-02-02T09:50:04Z</dcterms:created>
  <dcterms:modified xsi:type="dcterms:W3CDTF">2026-02-18T08:32:28Z</dcterms:modified>
</cp:coreProperties>
</file>