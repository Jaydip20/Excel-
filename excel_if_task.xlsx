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BD8671C0-8226-44E1-B3EE-8B7B6F2C34AB}" xr6:coauthVersionLast="47" xr6:coauthVersionMax="47" xr10:uidLastSave="{00000000-0000-0000-0000-000000000000}"/>
  <bookViews>
    <workbookView xWindow="240" yWindow="105" windowWidth="14805" windowHeight="8010" activeTab="9" xr2:uid="{00000000-000D-0000-FFFF-FFFF00000000}"/>
  </bookViews>
  <sheets>
    <sheet name="Pass_Fail using IF" sheetId="1" r:id="rId1"/>
    <sheet name="Salary Bonus Check (IF)" sheetId="2" r:id="rId2"/>
    <sheet name="Grade Calculation (Nested IF)" sheetId="3" r:id="rId3"/>
    <sheet name="Job Eligibility (AND)" sheetId="4" r:id="rId4"/>
    <sheet name="Exam Eligibility (AND)" sheetId="5" r:id="rId5"/>
    <sheet name=" Discount Logic (OR)" sheetId="6" r:id="rId6"/>
    <sheet name="Loan Approval (OR)" sheetId="7" r:id="rId7"/>
    <sheet name="Attendance Status (NOT)" sheetId="8" r:id="rId8"/>
    <sheet name="Safe Division (IFERROR)" sheetId="9" r:id="rId9"/>
    <sheet name=" Performance Evaluation (Combin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D4" i="10"/>
  <c r="D5" i="10"/>
  <c r="D2" i="10"/>
  <c r="C3" i="9"/>
  <c r="C4" i="9"/>
  <c r="C5" i="9"/>
  <c r="C2" i="9"/>
  <c r="C3" i="8"/>
  <c r="C4" i="8"/>
  <c r="C5" i="8"/>
  <c r="C2" i="8"/>
  <c r="D3" i="7"/>
  <c r="D4" i="7"/>
  <c r="D5" i="7"/>
  <c r="D2" i="7"/>
  <c r="D3" i="6"/>
  <c r="D4" i="6"/>
  <c r="D5" i="6"/>
  <c r="D2" i="6"/>
  <c r="D3" i="5"/>
  <c r="D4" i="5"/>
  <c r="D5" i="5"/>
  <c r="D2" i="5"/>
  <c r="D5" i="4"/>
  <c r="D3" i="4"/>
  <c r="D4" i="4"/>
  <c r="D2" i="4"/>
  <c r="C2" i="3"/>
  <c r="C3" i="3"/>
  <c r="C4" i="3"/>
  <c r="C5" i="3"/>
  <c r="C6" i="3"/>
  <c r="C2" i="2"/>
  <c r="C3" i="2"/>
  <c r="C4" i="2"/>
  <c r="C5" i="2"/>
  <c r="D3" i="1"/>
  <c r="D4" i="1"/>
  <c r="D5" i="1"/>
  <c r="D6" i="1"/>
  <c r="D2" i="1"/>
</calcChain>
</file>

<file path=xl/sharedStrings.xml><?xml version="1.0" encoding="utf-8"?>
<sst xmlns="http://schemas.openxmlformats.org/spreadsheetml/2006/main" count="92" uniqueCount="55">
  <si>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</si>
  <si>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</si>
  <si>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</si>
  <si>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</si>
  <si>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</si>
  <si>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</si>
  <si>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</si>
  <si>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</si>
  <si>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 xml:space="preserve">Task 1: Pass / Fail using IF
Dataset
Roll No	Student Name	Marks	Result
1	Aman	78	
2	Bharti	35	
3	Rohan	62	
4	Deepa	40	
5	Farhan	28	
Task
If Marks ≥ 40 → Pass
Else → Fail
</t>
  </si>
  <si>
    <t>Farhan</t>
  </si>
  <si>
    <t>Employee Name</t>
  </si>
  <si>
    <t>Salary</t>
  </si>
  <si>
    <t>Bonus Status</t>
  </si>
  <si>
    <t>Rohit</t>
  </si>
  <si>
    <t>Simran</t>
  </si>
  <si>
    <t>Task 2: Salary Bonus Check (IF)
Dataset
Employee Name	Salary	Bonus Status
Rohit	28000	
Simran	45000	
Vijay	52000	
Nisha	30000	
Task
Salary ≥ 40000 → Bonus
Else → No Bonus</t>
  </si>
  <si>
    <t>Vijay</t>
  </si>
  <si>
    <t>Nisha</t>
  </si>
  <si>
    <t>Grade</t>
  </si>
  <si>
    <t>Task 3: Grade Calculation (Nested IF)
Dataset
Student Name	Marks	Grade
Aman	82	
Bharti	67	
Rohan	45	
Deepa	33	
Farhan	90	
Task
≥ 75 → A
≥ 60 → B
≥ 40 → C
&lt; 40 → Fail</t>
  </si>
  <si>
    <t>Name</t>
  </si>
  <si>
    <t>Age</t>
  </si>
  <si>
    <t>Experience (Years)</t>
  </si>
  <si>
    <t>Eligible</t>
  </si>
  <si>
    <t>Task 4: Job Eligibility (AND)
Dataset
Name	Age	Experience (Years)	Eligible
Rohit	25	2	
Simran	20	1	
Vijay	30	5	
Nisha	22	0	
Task
Age ≥ 21 AND Experience ≥ 1 → Eligible</t>
  </si>
  <si>
    <t>Attendance %</t>
  </si>
  <si>
    <t>Assignment Submitted</t>
  </si>
  <si>
    <t>Yes</t>
  </si>
  <si>
    <t>Task 5: Exam Eligibility (AND)
Dataset
Student Name	Attendance %	Assignment Submitted	Eligible
Aman	85	Yes	
Bharti	72	Yes	
Rohan	90	No	
Deepa	80	Yes	
Task
Attendance ≥ 75 AND Assignment = Yes</t>
  </si>
  <si>
    <t>No</t>
  </si>
  <si>
    <t>Customer Name</t>
  </si>
  <si>
    <t>Purchase Amount</t>
  </si>
  <si>
    <t>Membership</t>
  </si>
  <si>
    <t>Discount</t>
  </si>
  <si>
    <t>Aakash</t>
  </si>
  <si>
    <t xml:space="preserve">Task 6: Discount Logic (OR)
Dataset
Customer Name	Purchase Amount	Membership	Discount
Aakash	9000	No	
Bhavna	12000	No	
Rohan	4000	Yes	
Divya	3000	No	
Task
Purchase ≥ 10000 OR Membership = Yes
</t>
  </si>
  <si>
    <t>Bhavna</t>
  </si>
  <si>
    <t>Divya</t>
  </si>
  <si>
    <t>Applicant</t>
  </si>
  <si>
    <t>CIBIL Score</t>
  </si>
  <si>
    <t>Loan Status</t>
  </si>
  <si>
    <t>Task 7: Loan Approval (OR)
Dataset
Applicant	Salary	CIBIL Score	Loan Status
Rohit	35000	720	
Simran	25000	680	
Vijay	50000	650	
Nisha	20000	600	
Task
Salary ≥ 40000 OR CIBIL ≥ 700</t>
  </si>
  <si>
    <t>Present</t>
  </si>
  <si>
    <t>Status</t>
  </si>
  <si>
    <t>Task 8: Attendance Status (NOT)
Dataset
Name	Present	Status
Aman	TRUE	
Bharti	FALSE	
Rohan	TRUE	
Deepa	FALSE	
Task
If NOT Present → Absent
Else → Present</t>
  </si>
  <si>
    <t>Number 1</t>
  </si>
  <si>
    <t>Number 2</t>
  </si>
  <si>
    <t>Task 9: Safe Division (IFERROR)
Dataset
Number 1	Number 2	Result
10	2	
15	0	
20	5	
8	0	
Task
Divide Number 1 by Number 2
If error → show "Invalid"</t>
  </si>
  <si>
    <t>Targets Achieved</t>
  </si>
  <si>
    <t>Performance</t>
  </si>
  <si>
    <t>Raj</t>
  </si>
  <si>
    <t>Task 10: Performance Evaluation (Combined Logic)
Dataset
Employee Name	Targets Achieved	Attendance %	Performance
Raj	45	92	
Sunita	38	85	
Manoj	50	95	
Kavita	30	70	
Task
Attendance ≥ 90 AND Targets ≥ 40 → Excellent
Attendance ≥ 80 → Good
Else → Needs Improvement</t>
  </si>
  <si>
    <t>Sunita</t>
  </si>
  <si>
    <t>Manoj</t>
  </si>
  <si>
    <t>Kavita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</si>
</sst>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rgb="FF1F2328"/>
      <name val="-Apple-System"/>
      <charset val="1"/>
    </font>
    <font>
      <sz val="12"/>
      <color rgb="FF1F2328"/>
      <name val="-Apple-System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workbookViewId="0">
      <selection activeCell="D2" sqref="D2:D6"/>
    </sheetView>
  </sheetViews>
  <sheetFormatPr defaultRowHeight="15"/>
  <cols>
    <col min="2" max="2" width="15" customWidth="1"/>
  </cols>
  <sheetData>
    <row r="1" spans="1:17" ht="33.75">
      <c r="A1" s="1" t="s">
        <v>0</v>
      </c>
      <c r="B1" s="1" t="s">
        <v>1</v>
      </c>
      <c r="C1" s="1" t="s">
        <v>2</v>
      </c>
      <c r="D1" s="1" t="s">
        <v>3</v>
      </c>
    </row>
    <row r="2" spans="1:17" ht="17.25">
      <c r="A2" s="2">
        <v>1</v>
      </c>
      <c r="B2" s="2" t="s">
        <v>4</v>
      </c>
      <c r="C2" s="2">
        <v>78</v>
      </c>
      <c r="D2" s="2" t="str">
        <f>IF(C2&gt;=40,"pass","fail")</f>
        <v>pass</v>
      </c>
    </row>
    <row r="3" spans="1:17" ht="17.25">
      <c r="A3" s="3">
        <v>2</v>
      </c>
      <c r="B3" s="3" t="s">
        <v>5</v>
      </c>
      <c r="C3" s="3">
        <v>35</v>
      </c>
      <c r="D3" s="2" t="str">
        <f t="shared" ref="D3:D6" si="0">IF(C3&gt;=40,"pass","fail")</f>
        <v>fail</v>
      </c>
    </row>
    <row r="4" spans="1:17" ht="17.25">
      <c r="A4" s="2">
        <v>3</v>
      </c>
      <c r="B4" s="2" t="s">
        <v>6</v>
      </c>
      <c r="C4" s="2">
        <v>62</v>
      </c>
      <c r="D4" s="2" t="str">
        <f t="shared" si="0"/>
        <v>pass</v>
      </c>
    </row>
    <row r="5" spans="1:17" ht="17.25">
      <c r="A5" s="3">
        <v>4</v>
      </c>
      <c r="B5" s="3" t="s">
        <v>7</v>
      </c>
      <c r="C5" s="3">
        <v>40</v>
      </c>
      <c r="D5" s="2" t="str">
        <f t="shared" si="0"/>
        <v>pass</v>
      </c>
      <c r="I5" s="5" t="s">
        <v>8</v>
      </c>
      <c r="J5" s="4"/>
      <c r="K5" s="4"/>
      <c r="L5" s="4"/>
      <c r="M5" s="4"/>
      <c r="N5" s="4"/>
      <c r="O5" s="4"/>
      <c r="P5" s="4"/>
      <c r="Q5" s="4"/>
    </row>
    <row r="6" spans="1:17" ht="17.25">
      <c r="A6" s="2">
        <v>5</v>
      </c>
      <c r="B6" s="2" t="s">
        <v>9</v>
      </c>
      <c r="C6" s="2">
        <v>28</v>
      </c>
      <c r="D6" s="2" t="str">
        <f t="shared" si="0"/>
        <v>fail</v>
      </c>
      <c r="I6" s="4"/>
      <c r="J6" s="4"/>
      <c r="K6" s="4"/>
      <c r="L6" s="4"/>
      <c r="M6" s="4"/>
      <c r="N6" s="4"/>
      <c r="O6" s="4"/>
      <c r="P6" s="4"/>
      <c r="Q6" s="4"/>
    </row>
    <row r="7" spans="1:17">
      <c r="I7" s="4"/>
      <c r="J7" s="4"/>
      <c r="K7" s="4"/>
      <c r="L7" s="4"/>
      <c r="M7" s="4"/>
      <c r="N7" s="4"/>
      <c r="O7" s="4"/>
      <c r="P7" s="4"/>
      <c r="Q7" s="4"/>
    </row>
    <row r="8" spans="1:17">
      <c r="I8" s="4"/>
      <c r="J8" s="4"/>
      <c r="K8" s="4"/>
      <c r="L8" s="4"/>
      <c r="M8" s="4"/>
      <c r="N8" s="4"/>
      <c r="O8" s="4"/>
      <c r="P8" s="4"/>
      <c r="Q8" s="4"/>
    </row>
    <row r="9" spans="1:17">
      <c r="I9" s="4"/>
      <c r="J9" s="4"/>
      <c r="K9" s="4"/>
      <c r="L9" s="4"/>
      <c r="M9" s="4"/>
      <c r="N9" s="4"/>
      <c r="O9" s="4"/>
      <c r="P9" s="4"/>
      <c r="Q9" s="4"/>
    </row>
    <row r="10" spans="1:17">
      <c r="I10" s="4"/>
      <c r="J10" s="4"/>
      <c r="K10" s="4"/>
      <c r="L10" s="4"/>
      <c r="M10" s="4"/>
      <c r="N10" s="4"/>
      <c r="O10" s="4"/>
      <c r="P10" s="4"/>
      <c r="Q10" s="4"/>
    </row>
    <row r="11" spans="1:17">
      <c r="I11" s="4"/>
      <c r="J11" s="4"/>
      <c r="K11" s="4"/>
      <c r="L11" s="4"/>
      <c r="M11" s="4"/>
      <c r="N11" s="4"/>
      <c r="O11" s="4"/>
      <c r="P11" s="4"/>
      <c r="Q11" s="4"/>
    </row>
    <row r="12" spans="1:17" ht="15" customHeight="1">
      <c r="I12" s="4"/>
      <c r="J12" s="4"/>
      <c r="K12" s="4"/>
      <c r="L12" s="4"/>
      <c r="M12" s="4"/>
      <c r="N12" s="4"/>
      <c r="O12" s="4"/>
      <c r="P12" s="4"/>
      <c r="Q12" s="4"/>
    </row>
    <row r="13" spans="1:17">
      <c r="I13" s="4"/>
      <c r="J13" s="4"/>
      <c r="K13" s="4"/>
      <c r="L13" s="4"/>
      <c r="M13" s="4"/>
      <c r="N13" s="4"/>
      <c r="O13" s="4"/>
      <c r="P13" s="4"/>
      <c r="Q13" s="4"/>
    </row>
    <row r="14" spans="1:17">
      <c r="D14" s="6"/>
      <c r="I14" s="4"/>
      <c r="J14" s="4"/>
      <c r="K14" s="4"/>
      <c r="L14" s="4"/>
      <c r="M14" s="4"/>
      <c r="N14" s="4"/>
      <c r="O14" s="4"/>
      <c r="P14" s="4"/>
      <c r="Q14" s="4"/>
    </row>
    <row r="15" spans="1:17">
      <c r="I15" s="4"/>
      <c r="J15" s="4"/>
      <c r="K15" s="4"/>
      <c r="L15" s="4"/>
      <c r="M15" s="4"/>
      <c r="N15" s="4"/>
      <c r="O15" s="4"/>
      <c r="P15" s="4"/>
      <c r="Q15" s="4"/>
    </row>
    <row r="16" spans="1:17">
      <c r="I16" s="4"/>
      <c r="J16" s="4"/>
      <c r="K16" s="4"/>
      <c r="L16" s="4"/>
      <c r="M16" s="4"/>
      <c r="N16" s="4"/>
      <c r="O16" s="4"/>
      <c r="P16" s="4"/>
      <c r="Q16" s="4"/>
    </row>
    <row r="17" spans="9:17">
      <c r="I17" s="4"/>
      <c r="J17" s="4"/>
      <c r="K17" s="4"/>
      <c r="L17" s="4"/>
      <c r="M17" s="4"/>
      <c r="N17" s="4"/>
      <c r="O17" s="4"/>
      <c r="P17" s="4"/>
      <c r="Q17" s="4"/>
    </row>
    <row r="18" spans="9:17">
      <c r="I18" s="4"/>
      <c r="J18" s="4"/>
      <c r="K18" s="4"/>
      <c r="L18" s="4"/>
      <c r="M18" s="4"/>
      <c r="N18" s="4"/>
      <c r="O18" s="4"/>
      <c r="P18" s="4"/>
      <c r="Q18" s="4"/>
    </row>
    <row r="19" spans="9:17">
      <c r="I19" s="4"/>
      <c r="J19" s="4"/>
      <c r="K19" s="4"/>
      <c r="L19" s="4"/>
      <c r="M19" s="4"/>
      <c r="N19" s="4"/>
      <c r="O19" s="4"/>
      <c r="P19" s="4"/>
      <c r="Q19" s="4"/>
    </row>
    <row r="20" spans="9:17">
      <c r="I20" s="4"/>
      <c r="J20" s="4"/>
      <c r="K20" s="4"/>
      <c r="L20" s="4"/>
      <c r="M20" s="4"/>
      <c r="N20" s="4"/>
      <c r="O20" s="4"/>
      <c r="P20" s="4"/>
      <c r="Q20" s="4"/>
    </row>
    <row r="21" spans="9:17">
      <c r="I21" s="4"/>
      <c r="J21" s="4"/>
      <c r="K21" s="4"/>
      <c r="L21" s="4"/>
      <c r="M21" s="4"/>
      <c r="N21" s="4"/>
      <c r="O21" s="4"/>
      <c r="P21" s="4"/>
      <c r="Q21" s="4"/>
    </row>
    <row r="22" spans="9:17">
      <c r="I22" s="4"/>
      <c r="J22" s="4"/>
      <c r="K22" s="4"/>
      <c r="L22" s="4"/>
      <c r="M22" s="4"/>
      <c r="N22" s="4"/>
      <c r="O22" s="4"/>
      <c r="P22" s="4"/>
      <c r="Q22" s="4"/>
    </row>
    <row r="23" spans="9:17">
      <c r="I23" s="4"/>
      <c r="J23" s="4"/>
      <c r="K23" s="4"/>
      <c r="L23" s="4"/>
      <c r="M23" s="4"/>
      <c r="N23" s="4"/>
      <c r="O23" s="4"/>
      <c r="P23" s="4"/>
      <c r="Q23" s="4"/>
    </row>
    <row r="24" spans="9:17">
      <c r="I24" s="4"/>
      <c r="J24" s="4"/>
      <c r="K24" s="4"/>
      <c r="L24" s="4"/>
      <c r="M24" s="4"/>
      <c r="N24" s="4"/>
      <c r="O24" s="4"/>
      <c r="P24" s="4"/>
      <c r="Q24" s="4"/>
    </row>
    <row r="30" spans="9:17">
      <c r="O30" s="6"/>
    </row>
  </sheetData>
  <mergeCells count="1">
    <mergeCell ref="I5:Q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4235D-D90E-4AB9-AD97-B92A85FBE176}">
  <dimension ref="A1:N17"/>
  <sheetViews>
    <sheetView workbookViewId="0">
      <selection activeCell="C3" sqref="C3"/>
    </sheetView>
  </sheetViews>
  <sheetFormatPr defaultRowHeight="15"/>
  <cols>
    <col min="1" max="1" width="18.7109375" customWidth="1"/>
    <col min="3" max="3" width="15.5703125" customWidth="1"/>
  </cols>
  <sheetData>
    <row r="1" spans="1:14" ht="16.5">
      <c r="A1" s="1" t="s">
        <v>10</v>
      </c>
      <c r="B1" s="1" t="s">
        <v>11</v>
      </c>
      <c r="C1" s="1" t="s">
        <v>12</v>
      </c>
    </row>
    <row r="2" spans="1:14" ht="17.25">
      <c r="A2" s="2" t="s">
        <v>13</v>
      </c>
      <c r="B2" s="2">
        <v>28000</v>
      </c>
      <c r="C2" s="2" t="str">
        <f>IF(B2&gt;=40000,"bonus","no bonus")</f>
        <v>no bonus</v>
      </c>
    </row>
    <row r="3" spans="1:14" ht="17.25">
      <c r="A3" s="3" t="s">
        <v>14</v>
      </c>
      <c r="B3" s="3">
        <v>45000</v>
      </c>
      <c r="C3" s="2" t="str">
        <f t="shared" ref="C3:C5" si="0">IF(B3&gt;=40000,"bonus","no bonus")</f>
        <v>bonus</v>
      </c>
      <c r="G3" s="7" t="s">
        <v>15</v>
      </c>
      <c r="H3" s="8"/>
      <c r="I3" s="8"/>
      <c r="J3" s="8"/>
      <c r="K3" s="8"/>
      <c r="L3" s="8"/>
      <c r="M3" s="8"/>
      <c r="N3" s="8"/>
    </row>
    <row r="4" spans="1:14" ht="17.25">
      <c r="A4" s="2" t="s">
        <v>16</v>
      </c>
      <c r="B4" s="2">
        <v>52000</v>
      </c>
      <c r="C4" s="2" t="str">
        <f t="shared" si="0"/>
        <v>bonus</v>
      </c>
      <c r="G4" s="8"/>
      <c r="H4" s="8"/>
      <c r="I4" s="8"/>
      <c r="J4" s="8"/>
      <c r="K4" s="8"/>
      <c r="L4" s="8"/>
      <c r="M4" s="8"/>
      <c r="N4" s="8"/>
    </row>
    <row r="5" spans="1:14" ht="17.25">
      <c r="A5" s="3" t="s">
        <v>17</v>
      </c>
      <c r="B5" s="3">
        <v>30000</v>
      </c>
      <c r="C5" s="2" t="str">
        <f t="shared" si="0"/>
        <v>no bonus</v>
      </c>
      <c r="G5" s="8"/>
      <c r="H5" s="8"/>
      <c r="I5" s="8"/>
      <c r="J5" s="8"/>
      <c r="K5" s="8"/>
      <c r="L5" s="8"/>
      <c r="M5" s="8"/>
      <c r="N5" s="8"/>
    </row>
    <row r="6" spans="1:14">
      <c r="G6" s="8"/>
      <c r="H6" s="8"/>
      <c r="I6" s="8"/>
      <c r="J6" s="8"/>
      <c r="K6" s="8"/>
      <c r="L6" s="8"/>
      <c r="M6" s="8"/>
      <c r="N6" s="8"/>
    </row>
    <row r="7" spans="1:14">
      <c r="G7" s="8"/>
      <c r="H7" s="8"/>
      <c r="I7" s="8"/>
      <c r="J7" s="8"/>
      <c r="K7" s="8"/>
      <c r="L7" s="8"/>
      <c r="M7" s="8"/>
      <c r="N7" s="8"/>
    </row>
    <row r="8" spans="1:14">
      <c r="G8" s="8"/>
      <c r="H8" s="8"/>
      <c r="I8" s="8"/>
      <c r="J8" s="8"/>
      <c r="K8" s="8"/>
      <c r="L8" s="8"/>
      <c r="M8" s="8"/>
      <c r="N8" s="8"/>
    </row>
    <row r="9" spans="1:14">
      <c r="G9" s="8"/>
      <c r="H9" s="8"/>
      <c r="I9" s="8"/>
      <c r="J9" s="8"/>
      <c r="K9" s="8"/>
      <c r="L9" s="8"/>
      <c r="M9" s="8"/>
      <c r="N9" s="8"/>
    </row>
    <row r="10" spans="1:14">
      <c r="G10" s="8"/>
      <c r="H10" s="8"/>
      <c r="I10" s="8"/>
      <c r="J10" s="8"/>
      <c r="K10" s="8"/>
      <c r="L10" s="8"/>
      <c r="M10" s="8"/>
      <c r="N10" s="8"/>
    </row>
    <row r="11" spans="1:14">
      <c r="G11" s="8"/>
      <c r="H11" s="8"/>
      <c r="I11" s="8"/>
      <c r="J11" s="8"/>
      <c r="K11" s="8"/>
      <c r="L11" s="8"/>
      <c r="M11" s="8"/>
      <c r="N11" s="8"/>
    </row>
    <row r="12" spans="1:14">
      <c r="G12" s="8"/>
      <c r="H12" s="8"/>
      <c r="I12" s="8"/>
      <c r="J12" s="8"/>
      <c r="K12" s="8"/>
      <c r="L12" s="8"/>
      <c r="M12" s="8"/>
      <c r="N12" s="8"/>
    </row>
    <row r="13" spans="1:14">
      <c r="G13" s="8"/>
      <c r="H13" s="8"/>
      <c r="I13" s="8"/>
      <c r="J13" s="8"/>
      <c r="K13" s="8"/>
      <c r="L13" s="8"/>
      <c r="M13" s="8"/>
      <c r="N13" s="8"/>
    </row>
    <row r="14" spans="1:14">
      <c r="G14" s="8"/>
      <c r="H14" s="8"/>
      <c r="I14" s="8"/>
      <c r="J14" s="8"/>
      <c r="K14" s="8"/>
      <c r="L14" s="8"/>
      <c r="M14" s="8"/>
      <c r="N14" s="8"/>
    </row>
    <row r="15" spans="1:14">
      <c r="G15" s="8"/>
      <c r="H15" s="8"/>
      <c r="I15" s="8"/>
      <c r="J15" s="8"/>
      <c r="K15" s="8"/>
      <c r="L15" s="8"/>
      <c r="M15" s="8"/>
      <c r="N15" s="8"/>
    </row>
    <row r="16" spans="1:14">
      <c r="G16" s="8"/>
      <c r="H16" s="8"/>
      <c r="I16" s="8"/>
      <c r="J16" s="8"/>
      <c r="K16" s="8"/>
      <c r="L16" s="8"/>
      <c r="M16" s="8"/>
      <c r="N16" s="8"/>
    </row>
    <row r="17" spans="7:14">
      <c r="G17" s="8"/>
      <c r="H17" s="8"/>
      <c r="I17" s="8"/>
      <c r="J17" s="8"/>
      <c r="K17" s="8"/>
      <c r="L17" s="8"/>
      <c r="M17" s="8"/>
      <c r="N17" s="8"/>
    </row>
  </sheetData>
  <mergeCells count="1">
    <mergeCell ref="G3:N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E89B1-A2C8-4FB4-B1AA-1EF92CBF47B0}">
  <dimension ref="A1:R19"/>
  <sheetViews>
    <sheetView workbookViewId="0">
      <selection activeCell="C2" sqref="C2:C6"/>
    </sheetView>
  </sheetViews>
  <sheetFormatPr defaultRowHeight="15"/>
  <cols>
    <col min="1" max="1" width="16.85546875" customWidth="1"/>
  </cols>
  <sheetData>
    <row r="1" spans="1:18" ht="16.5">
      <c r="A1" s="1" t="s">
        <v>1</v>
      </c>
      <c r="B1" s="1" t="s">
        <v>2</v>
      </c>
      <c r="C1" s="1" t="s">
        <v>18</v>
      </c>
    </row>
    <row r="2" spans="1:18" ht="17.25">
      <c r="A2" s="2" t="s">
        <v>4</v>
      </c>
      <c r="B2" s="2">
        <v>82</v>
      </c>
      <c r="C2" s="2" t="str">
        <f>IF(B2&gt;=75,"A",IF(B2&gt;=60,"b",IF(B2&gt;=40,"c","Fail")))</f>
        <v>A</v>
      </c>
    </row>
    <row r="3" spans="1:18" ht="17.25">
      <c r="A3" s="3" t="s">
        <v>5</v>
      </c>
      <c r="B3" s="3">
        <v>67</v>
      </c>
      <c r="C3" s="2" t="str">
        <f t="shared" ref="C3:C6" si="0">IF(B3&gt;=75,"A",IF(B3&gt;=60,"b",IF(B3&gt;=40,"c","Fail")))</f>
        <v>b</v>
      </c>
      <c r="I3" s="7" t="s">
        <v>19</v>
      </c>
      <c r="J3" s="8"/>
      <c r="K3" s="8"/>
      <c r="L3" s="8"/>
      <c r="M3" s="8"/>
      <c r="N3" s="8"/>
      <c r="O3" s="8"/>
      <c r="P3" s="8"/>
      <c r="Q3" s="8"/>
      <c r="R3" s="8"/>
    </row>
    <row r="4" spans="1:18" ht="17.25">
      <c r="A4" s="2" t="s">
        <v>6</v>
      </c>
      <c r="B4" s="2">
        <v>45</v>
      </c>
      <c r="C4" s="2" t="str">
        <f t="shared" si="0"/>
        <v>c</v>
      </c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ht="17.25">
      <c r="A5" s="3" t="s">
        <v>7</v>
      </c>
      <c r="B5" s="3">
        <v>33</v>
      </c>
      <c r="C5" s="2" t="str">
        <f t="shared" si="0"/>
        <v>Fail</v>
      </c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 ht="17.25">
      <c r="A6" s="2" t="s">
        <v>9</v>
      </c>
      <c r="B6" s="2">
        <v>90</v>
      </c>
      <c r="C6" s="2" t="str">
        <f t="shared" si="0"/>
        <v>A</v>
      </c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>
      <c r="I7" s="8"/>
      <c r="J7" s="8"/>
      <c r="K7" s="8"/>
      <c r="L7" s="8"/>
      <c r="M7" s="8"/>
      <c r="N7" s="8"/>
      <c r="O7" s="8"/>
      <c r="P7" s="8"/>
      <c r="Q7" s="8"/>
      <c r="R7" s="8"/>
    </row>
    <row r="8" spans="1:18">
      <c r="I8" s="8"/>
      <c r="J8" s="8"/>
      <c r="K8" s="8"/>
      <c r="L8" s="8"/>
      <c r="M8" s="8"/>
      <c r="N8" s="8"/>
      <c r="O8" s="8"/>
      <c r="P8" s="8"/>
      <c r="Q8" s="8"/>
      <c r="R8" s="8"/>
    </row>
    <row r="9" spans="1:18">
      <c r="I9" s="8"/>
      <c r="J9" s="8"/>
      <c r="K9" s="8"/>
      <c r="L9" s="8"/>
      <c r="M9" s="8"/>
      <c r="N9" s="8"/>
      <c r="O9" s="8"/>
      <c r="P9" s="8"/>
      <c r="Q9" s="8"/>
      <c r="R9" s="8"/>
    </row>
    <row r="10" spans="1:18"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1:18"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18"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1:18"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18"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18"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18"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9:18"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9:18"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9:18">
      <c r="I19" s="8"/>
      <c r="J19" s="8"/>
      <c r="K19" s="8"/>
      <c r="L19" s="8"/>
      <c r="M19" s="8"/>
      <c r="N19" s="8"/>
      <c r="O19" s="8"/>
      <c r="P19" s="8"/>
      <c r="Q19" s="8"/>
      <c r="R19" s="8"/>
    </row>
  </sheetData>
  <mergeCells count="1">
    <mergeCell ref="I3:R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B71DB-75C5-4B4B-B95D-891860BAE3E7}">
  <dimension ref="A1:P18"/>
  <sheetViews>
    <sheetView workbookViewId="0">
      <selection activeCell="E6" sqref="E6"/>
    </sheetView>
  </sheetViews>
  <sheetFormatPr defaultRowHeight="15"/>
  <cols>
    <col min="3" max="3" width="20.28515625" customWidth="1"/>
    <col min="4" max="4" width="12.42578125" customWidth="1"/>
  </cols>
  <sheetData>
    <row r="1" spans="1:16" ht="16.5">
      <c r="A1" s="1" t="s">
        <v>20</v>
      </c>
      <c r="B1" s="1" t="s">
        <v>21</v>
      </c>
      <c r="C1" s="1" t="s">
        <v>22</v>
      </c>
      <c r="D1" s="1" t="s">
        <v>23</v>
      </c>
    </row>
    <row r="2" spans="1:16" ht="17.25">
      <c r="A2" s="2" t="s">
        <v>13</v>
      </c>
      <c r="B2" s="2">
        <v>25</v>
      </c>
      <c r="C2" s="2">
        <v>2</v>
      </c>
      <c r="D2" s="2" t="str">
        <f>IF(AND(B2&gt;=21,C2&gt;=1),"Eligible","not Eligible")</f>
        <v>Eligible</v>
      </c>
    </row>
    <row r="3" spans="1:16" ht="17.25">
      <c r="A3" s="3" t="s">
        <v>14</v>
      </c>
      <c r="B3" s="3">
        <v>20</v>
      </c>
      <c r="C3" s="3">
        <v>1</v>
      </c>
      <c r="D3" s="2" t="str">
        <f>IF(AND(B3&gt;=21,C3&gt;=1),"Eligible","not Eligible")</f>
        <v>not Eligible</v>
      </c>
      <c r="H3" s="7" t="s">
        <v>24</v>
      </c>
      <c r="I3" s="8"/>
      <c r="J3" s="8"/>
      <c r="K3" s="8"/>
      <c r="L3" s="8"/>
      <c r="M3" s="8"/>
      <c r="N3" s="8"/>
      <c r="O3" s="8"/>
      <c r="P3" s="8"/>
    </row>
    <row r="4" spans="1:16" ht="17.25">
      <c r="A4" s="2" t="s">
        <v>16</v>
      </c>
      <c r="B4" s="2">
        <v>30</v>
      </c>
      <c r="C4" s="2">
        <v>5</v>
      </c>
      <c r="D4" s="2" t="str">
        <f t="shared" ref="D3:D5" si="0">IF(AND(B4&gt;=21,C4&gt;=1),"Eligible","not Eligible")</f>
        <v>Eligible</v>
      </c>
      <c r="H4" s="8"/>
      <c r="I4" s="8"/>
      <c r="J4" s="8"/>
      <c r="K4" s="8"/>
      <c r="L4" s="8"/>
      <c r="M4" s="8"/>
      <c r="N4" s="8"/>
      <c r="O4" s="8"/>
      <c r="P4" s="8"/>
    </row>
    <row r="5" spans="1:16" ht="17.25">
      <c r="A5" s="3" t="s">
        <v>17</v>
      </c>
      <c r="B5" s="3">
        <v>22</v>
      </c>
      <c r="C5" s="3">
        <v>0</v>
      </c>
      <c r="D5" s="2" t="str">
        <f>IF(AND(B5&gt;=21,C5&gt;=1),"Eligible","not Eligible")</f>
        <v>not Eligible</v>
      </c>
      <c r="H5" s="8"/>
      <c r="I5" s="8"/>
      <c r="J5" s="8"/>
      <c r="K5" s="8"/>
      <c r="L5" s="8"/>
      <c r="M5" s="8"/>
      <c r="N5" s="8"/>
      <c r="O5" s="8"/>
      <c r="P5" s="8"/>
    </row>
    <row r="6" spans="1:16">
      <c r="H6" s="8"/>
      <c r="I6" s="8"/>
      <c r="J6" s="8"/>
      <c r="K6" s="8"/>
      <c r="L6" s="8"/>
      <c r="M6" s="8"/>
      <c r="N6" s="8"/>
      <c r="O6" s="8"/>
      <c r="P6" s="8"/>
    </row>
    <row r="7" spans="1:16">
      <c r="H7" s="8"/>
      <c r="I7" s="8"/>
      <c r="J7" s="8"/>
      <c r="K7" s="8"/>
      <c r="L7" s="8"/>
      <c r="M7" s="8"/>
      <c r="N7" s="8"/>
      <c r="O7" s="8"/>
      <c r="P7" s="8"/>
    </row>
    <row r="8" spans="1:16">
      <c r="H8" s="8"/>
      <c r="I8" s="8"/>
      <c r="J8" s="8"/>
      <c r="K8" s="8"/>
      <c r="L8" s="8"/>
      <c r="M8" s="8"/>
      <c r="N8" s="8"/>
      <c r="O8" s="8"/>
      <c r="P8" s="8"/>
    </row>
    <row r="9" spans="1:16">
      <c r="H9" s="8"/>
      <c r="I9" s="8"/>
      <c r="J9" s="8"/>
      <c r="K9" s="8"/>
      <c r="L9" s="8"/>
      <c r="M9" s="8"/>
      <c r="N9" s="8"/>
      <c r="O9" s="8"/>
      <c r="P9" s="8"/>
    </row>
    <row r="10" spans="1:16">
      <c r="H10" s="8"/>
      <c r="I10" s="8"/>
      <c r="J10" s="8"/>
      <c r="K10" s="8"/>
      <c r="L10" s="8"/>
      <c r="M10" s="8"/>
      <c r="N10" s="8"/>
      <c r="O10" s="8"/>
      <c r="P10" s="8"/>
    </row>
    <row r="11" spans="1:16">
      <c r="H11" s="8"/>
      <c r="I11" s="8"/>
      <c r="J11" s="8"/>
      <c r="K11" s="8"/>
      <c r="L11" s="8"/>
      <c r="M11" s="8"/>
      <c r="N11" s="8"/>
      <c r="O11" s="8"/>
      <c r="P11" s="8"/>
    </row>
    <row r="12" spans="1:16">
      <c r="H12" s="8"/>
      <c r="I12" s="8"/>
      <c r="J12" s="8"/>
      <c r="K12" s="8"/>
      <c r="L12" s="8"/>
      <c r="M12" s="8"/>
      <c r="N12" s="8"/>
      <c r="O12" s="8"/>
      <c r="P12" s="8"/>
    </row>
    <row r="13" spans="1:16">
      <c r="H13" s="8"/>
      <c r="I13" s="8"/>
      <c r="J13" s="8"/>
      <c r="K13" s="8"/>
      <c r="L13" s="8"/>
      <c r="M13" s="8"/>
      <c r="N13" s="8"/>
      <c r="O13" s="8"/>
      <c r="P13" s="8"/>
    </row>
    <row r="14" spans="1:16">
      <c r="H14" s="8"/>
      <c r="I14" s="8"/>
      <c r="J14" s="8"/>
      <c r="K14" s="8"/>
      <c r="L14" s="8"/>
      <c r="M14" s="8"/>
      <c r="N14" s="8"/>
      <c r="O14" s="8"/>
      <c r="P14" s="8"/>
    </row>
    <row r="15" spans="1:16">
      <c r="H15" s="8"/>
      <c r="I15" s="8"/>
      <c r="J15" s="8"/>
      <c r="K15" s="8"/>
      <c r="L15" s="8"/>
      <c r="M15" s="8"/>
      <c r="N15" s="8"/>
      <c r="O15" s="8"/>
      <c r="P15" s="8"/>
    </row>
    <row r="16" spans="1:16">
      <c r="H16" s="8"/>
      <c r="I16" s="8"/>
      <c r="J16" s="8"/>
      <c r="K16" s="8"/>
      <c r="L16" s="8"/>
      <c r="M16" s="8"/>
      <c r="N16" s="8"/>
      <c r="O16" s="8"/>
      <c r="P16" s="8"/>
    </row>
    <row r="17" spans="8:16">
      <c r="H17" s="8"/>
      <c r="I17" s="8"/>
      <c r="J17" s="8"/>
      <c r="K17" s="8"/>
      <c r="L17" s="8"/>
      <c r="M17" s="8"/>
      <c r="N17" s="8"/>
      <c r="O17" s="8"/>
      <c r="P17" s="8"/>
    </row>
    <row r="18" spans="8:16">
      <c r="H18" s="8"/>
      <c r="I18" s="8"/>
      <c r="J18" s="8"/>
      <c r="K18" s="8"/>
      <c r="L18" s="8"/>
      <c r="M18" s="8"/>
      <c r="N18" s="8"/>
      <c r="O18" s="8"/>
      <c r="P18" s="8"/>
    </row>
  </sheetData>
  <mergeCells count="1">
    <mergeCell ref="H3:P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BE39-F6C4-4997-B005-CEA0F280B82A}">
  <dimension ref="A1:O18"/>
  <sheetViews>
    <sheetView workbookViewId="0">
      <selection activeCell="D4" sqref="D4"/>
    </sheetView>
  </sheetViews>
  <sheetFormatPr defaultRowHeight="15"/>
  <cols>
    <col min="1" max="1" width="16.140625" customWidth="1"/>
    <col min="2" max="2" width="17.7109375" customWidth="1"/>
    <col min="3" max="3" width="27.140625" customWidth="1"/>
    <col min="4" max="4" width="14.85546875" customWidth="1"/>
  </cols>
  <sheetData>
    <row r="1" spans="1:15" ht="16.5">
      <c r="A1" s="1" t="s">
        <v>1</v>
      </c>
      <c r="B1" s="1" t="s">
        <v>25</v>
      </c>
      <c r="C1" s="1" t="s">
        <v>26</v>
      </c>
      <c r="D1" s="1" t="s">
        <v>23</v>
      </c>
    </row>
    <row r="2" spans="1:15" ht="17.25">
      <c r="A2" s="2" t="s">
        <v>4</v>
      </c>
      <c r="B2" s="2">
        <v>85</v>
      </c>
      <c r="C2" s="2" t="s">
        <v>27</v>
      </c>
      <c r="D2" s="2" t="str">
        <f>IF(AND(B2&gt;=75,C2="Yes"),"Eligible","not Eligible")</f>
        <v>Eligible</v>
      </c>
    </row>
    <row r="3" spans="1:15" ht="17.25">
      <c r="A3" s="3" t="s">
        <v>5</v>
      </c>
      <c r="B3" s="3">
        <v>72</v>
      </c>
      <c r="C3" s="3" t="s">
        <v>27</v>
      </c>
      <c r="D3" s="2" t="str">
        <f t="shared" ref="D3:D5" si="0">IF(AND(B3&gt;=75,C3="Yes"),"Eligible","not Eligible")</f>
        <v>not Eligible</v>
      </c>
      <c r="G3" s="7" t="s">
        <v>28</v>
      </c>
      <c r="H3" s="8"/>
      <c r="I3" s="8"/>
      <c r="J3" s="8"/>
      <c r="K3" s="8"/>
      <c r="L3" s="8"/>
      <c r="M3" s="8"/>
      <c r="N3" s="8"/>
      <c r="O3" s="8"/>
    </row>
    <row r="4" spans="1:15" ht="17.25">
      <c r="A4" s="2" t="s">
        <v>6</v>
      </c>
      <c r="B4" s="2">
        <v>90</v>
      </c>
      <c r="C4" s="2" t="s">
        <v>29</v>
      </c>
      <c r="D4" s="2" t="str">
        <f t="shared" si="0"/>
        <v>not Eligible</v>
      </c>
      <c r="G4" s="8"/>
      <c r="H4" s="8"/>
      <c r="I4" s="8"/>
      <c r="J4" s="8"/>
      <c r="K4" s="8"/>
      <c r="L4" s="8"/>
      <c r="M4" s="8"/>
      <c r="N4" s="8"/>
      <c r="O4" s="8"/>
    </row>
    <row r="5" spans="1:15" ht="17.25">
      <c r="A5" s="3" t="s">
        <v>7</v>
      </c>
      <c r="B5" s="3">
        <v>80</v>
      </c>
      <c r="C5" s="3" t="s">
        <v>27</v>
      </c>
      <c r="D5" s="2" t="str">
        <f t="shared" si="0"/>
        <v>Eligible</v>
      </c>
      <c r="G5" s="8"/>
      <c r="H5" s="8"/>
      <c r="I5" s="8"/>
      <c r="J5" s="8"/>
      <c r="K5" s="8"/>
      <c r="L5" s="8"/>
      <c r="M5" s="8"/>
      <c r="N5" s="8"/>
      <c r="O5" s="8"/>
    </row>
    <row r="6" spans="1:15">
      <c r="G6" s="8"/>
      <c r="H6" s="8"/>
      <c r="I6" s="8"/>
      <c r="J6" s="8"/>
      <c r="K6" s="8"/>
      <c r="L6" s="8"/>
      <c r="M6" s="8"/>
      <c r="N6" s="8"/>
      <c r="O6" s="8"/>
    </row>
    <row r="7" spans="1:15">
      <c r="G7" s="8"/>
      <c r="H7" s="8"/>
      <c r="I7" s="8"/>
      <c r="J7" s="8"/>
      <c r="K7" s="8"/>
      <c r="L7" s="8"/>
      <c r="M7" s="8"/>
      <c r="N7" s="8"/>
      <c r="O7" s="8"/>
    </row>
    <row r="8" spans="1:15">
      <c r="G8" s="8"/>
      <c r="H8" s="8"/>
      <c r="I8" s="8"/>
      <c r="J8" s="8"/>
      <c r="K8" s="8"/>
      <c r="L8" s="8"/>
      <c r="M8" s="8"/>
      <c r="N8" s="8"/>
      <c r="O8" s="8"/>
    </row>
    <row r="9" spans="1:15">
      <c r="G9" s="8"/>
      <c r="H9" s="8"/>
      <c r="I9" s="8"/>
      <c r="J9" s="8"/>
      <c r="K9" s="8"/>
      <c r="L9" s="8"/>
      <c r="M9" s="8"/>
      <c r="N9" s="8"/>
      <c r="O9" s="8"/>
    </row>
    <row r="10" spans="1:15">
      <c r="G10" s="8"/>
      <c r="H10" s="8"/>
      <c r="I10" s="8"/>
      <c r="J10" s="8"/>
      <c r="K10" s="8"/>
      <c r="L10" s="8"/>
      <c r="M10" s="8"/>
      <c r="N10" s="8"/>
      <c r="O10" s="8"/>
    </row>
    <row r="11" spans="1:15">
      <c r="G11" s="8"/>
      <c r="H11" s="8"/>
      <c r="I11" s="8"/>
      <c r="J11" s="8"/>
      <c r="K11" s="8"/>
      <c r="L11" s="8"/>
      <c r="M11" s="8"/>
      <c r="N11" s="8"/>
      <c r="O11" s="8"/>
    </row>
    <row r="12" spans="1:15">
      <c r="G12" s="8"/>
      <c r="H12" s="8"/>
      <c r="I12" s="8"/>
      <c r="J12" s="8"/>
      <c r="K12" s="8"/>
      <c r="L12" s="8"/>
      <c r="M12" s="8"/>
      <c r="N12" s="8"/>
      <c r="O12" s="8"/>
    </row>
    <row r="13" spans="1:15">
      <c r="G13" s="8"/>
      <c r="H13" s="8"/>
      <c r="I13" s="8"/>
      <c r="J13" s="8"/>
      <c r="K13" s="8"/>
      <c r="L13" s="8"/>
      <c r="M13" s="8"/>
      <c r="N13" s="8"/>
      <c r="O13" s="8"/>
    </row>
    <row r="14" spans="1:15">
      <c r="G14" s="8"/>
      <c r="H14" s="8"/>
      <c r="I14" s="8"/>
      <c r="J14" s="8"/>
      <c r="K14" s="8"/>
      <c r="L14" s="8"/>
      <c r="M14" s="8"/>
      <c r="N14" s="8"/>
      <c r="O14" s="8"/>
    </row>
    <row r="15" spans="1:15">
      <c r="G15" s="8"/>
      <c r="H15" s="8"/>
      <c r="I15" s="8"/>
      <c r="J15" s="8"/>
      <c r="K15" s="8"/>
      <c r="L15" s="8"/>
      <c r="M15" s="8"/>
      <c r="N15" s="8"/>
      <c r="O15" s="8"/>
    </row>
    <row r="16" spans="1:15">
      <c r="G16" s="8"/>
      <c r="H16" s="8"/>
      <c r="I16" s="8"/>
      <c r="J16" s="8"/>
      <c r="K16" s="8"/>
      <c r="L16" s="8"/>
      <c r="M16" s="8"/>
      <c r="N16" s="8"/>
      <c r="O16" s="8"/>
    </row>
    <row r="17" spans="7:15">
      <c r="G17" s="8"/>
      <c r="H17" s="8"/>
      <c r="I17" s="8"/>
      <c r="J17" s="8"/>
      <c r="K17" s="8"/>
      <c r="L17" s="8"/>
      <c r="M17" s="8"/>
      <c r="N17" s="8"/>
      <c r="O17" s="8"/>
    </row>
    <row r="18" spans="7:15">
      <c r="G18" s="8"/>
      <c r="H18" s="8"/>
      <c r="I18" s="8"/>
      <c r="J18" s="8"/>
      <c r="K18" s="8"/>
      <c r="L18" s="8"/>
      <c r="M18" s="8"/>
      <c r="N18" s="8"/>
      <c r="O18" s="8"/>
    </row>
  </sheetData>
  <mergeCells count="1">
    <mergeCell ref="G3:O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742DA-82FA-48CD-BE63-C7DEAB9FA6FA}">
  <dimension ref="A1:O17"/>
  <sheetViews>
    <sheetView workbookViewId="0">
      <selection activeCell="F1" sqref="F1"/>
    </sheetView>
  </sheetViews>
  <sheetFormatPr defaultRowHeight="15"/>
  <cols>
    <col min="1" max="1" width="21" customWidth="1"/>
    <col min="2" max="2" width="19.28515625" customWidth="1"/>
    <col min="3" max="3" width="18.5703125" customWidth="1"/>
    <col min="4" max="4" width="11.85546875" customWidth="1"/>
  </cols>
  <sheetData>
    <row r="1" spans="1:15" ht="33.75">
      <c r="A1" s="1" t="s">
        <v>30</v>
      </c>
      <c r="B1" s="1" t="s">
        <v>31</v>
      </c>
      <c r="C1" s="1" t="s">
        <v>32</v>
      </c>
      <c r="D1" s="1" t="s">
        <v>33</v>
      </c>
    </row>
    <row r="2" spans="1:15" ht="17.25">
      <c r="A2" s="2" t="s">
        <v>34</v>
      </c>
      <c r="B2" s="2">
        <v>9000</v>
      </c>
      <c r="C2" s="2" t="s">
        <v>29</v>
      </c>
      <c r="D2" s="2" t="str">
        <f>IF(OR(B2&gt;=10000,C2="Yes"),"Discount","no Discount")</f>
        <v>no Discount</v>
      </c>
      <c r="G2" s="7" t="s">
        <v>35</v>
      </c>
      <c r="H2" s="8"/>
      <c r="I2" s="8"/>
      <c r="J2" s="8"/>
      <c r="K2" s="8"/>
      <c r="L2" s="8"/>
      <c r="M2" s="8"/>
      <c r="N2" s="8"/>
      <c r="O2" s="8"/>
    </row>
    <row r="3" spans="1:15" ht="36">
      <c r="A3" s="3" t="s">
        <v>36</v>
      </c>
      <c r="B3" s="3">
        <v>12000</v>
      </c>
      <c r="C3" s="3" t="s">
        <v>29</v>
      </c>
      <c r="D3" s="2" t="str">
        <f t="shared" ref="D3:D5" si="0">IF(OR(B3&gt;=10000,C3="Yes"),"Discount","no Discount")</f>
        <v>Discount</v>
      </c>
      <c r="G3" s="8"/>
      <c r="H3" s="8"/>
      <c r="I3" s="8"/>
      <c r="J3" s="8"/>
      <c r="K3" s="8"/>
      <c r="L3" s="8"/>
      <c r="M3" s="8"/>
      <c r="N3" s="8"/>
      <c r="O3" s="8"/>
    </row>
    <row r="4" spans="1:15" ht="36">
      <c r="A4" s="2" t="s">
        <v>6</v>
      </c>
      <c r="B4" s="2">
        <v>4000</v>
      </c>
      <c r="C4" s="2" t="s">
        <v>27</v>
      </c>
      <c r="D4" s="2" t="str">
        <f t="shared" si="0"/>
        <v>Discount</v>
      </c>
      <c r="G4" s="8"/>
      <c r="H4" s="8"/>
      <c r="I4" s="8"/>
      <c r="J4" s="8"/>
      <c r="K4" s="8"/>
      <c r="L4" s="8"/>
      <c r="M4" s="8"/>
      <c r="N4" s="8"/>
      <c r="O4" s="8"/>
    </row>
    <row r="5" spans="1:15" ht="36">
      <c r="A5" s="3" t="s">
        <v>37</v>
      </c>
      <c r="B5" s="3">
        <v>3000</v>
      </c>
      <c r="C5" s="3" t="s">
        <v>29</v>
      </c>
      <c r="D5" s="2" t="str">
        <f t="shared" si="0"/>
        <v>no Discount</v>
      </c>
      <c r="G5" s="8"/>
      <c r="H5" s="8"/>
      <c r="I5" s="8"/>
      <c r="J5" s="8"/>
      <c r="K5" s="8"/>
      <c r="L5" s="8"/>
      <c r="M5" s="8"/>
      <c r="N5" s="8"/>
      <c r="O5" s="8"/>
    </row>
    <row r="6" spans="1:15">
      <c r="G6" s="8"/>
      <c r="H6" s="8"/>
      <c r="I6" s="8"/>
      <c r="J6" s="8"/>
      <c r="K6" s="8"/>
      <c r="L6" s="8"/>
      <c r="M6" s="8"/>
      <c r="N6" s="8"/>
      <c r="O6" s="8"/>
    </row>
    <row r="7" spans="1:15">
      <c r="G7" s="8"/>
      <c r="H7" s="8"/>
      <c r="I7" s="8"/>
      <c r="J7" s="8"/>
      <c r="K7" s="8"/>
      <c r="L7" s="8"/>
      <c r="M7" s="8"/>
      <c r="N7" s="8"/>
      <c r="O7" s="8"/>
    </row>
    <row r="8" spans="1:15">
      <c r="G8" s="8"/>
      <c r="H8" s="8"/>
      <c r="I8" s="8"/>
      <c r="J8" s="8"/>
      <c r="K8" s="8"/>
      <c r="L8" s="8"/>
      <c r="M8" s="8"/>
      <c r="N8" s="8"/>
      <c r="O8" s="8"/>
    </row>
    <row r="9" spans="1:15">
      <c r="G9" s="8"/>
      <c r="H9" s="8"/>
      <c r="I9" s="8"/>
      <c r="J9" s="8"/>
      <c r="K9" s="8"/>
      <c r="L9" s="8"/>
      <c r="M9" s="8"/>
      <c r="N9" s="8"/>
      <c r="O9" s="8"/>
    </row>
    <row r="10" spans="1:15">
      <c r="G10" s="8"/>
      <c r="H10" s="8"/>
      <c r="I10" s="8"/>
      <c r="J10" s="8"/>
      <c r="K10" s="8"/>
      <c r="L10" s="8"/>
      <c r="M10" s="8"/>
      <c r="N10" s="8"/>
      <c r="O10" s="8"/>
    </row>
    <row r="11" spans="1:15">
      <c r="G11" s="8"/>
      <c r="H11" s="8"/>
      <c r="I11" s="8"/>
      <c r="J11" s="8"/>
      <c r="K11" s="8"/>
      <c r="L11" s="8"/>
      <c r="M11" s="8"/>
      <c r="N11" s="8"/>
      <c r="O11" s="8"/>
    </row>
    <row r="12" spans="1:15">
      <c r="G12" s="8"/>
      <c r="H12" s="8"/>
      <c r="I12" s="8"/>
      <c r="J12" s="8"/>
      <c r="K12" s="8"/>
      <c r="L12" s="8"/>
      <c r="M12" s="8"/>
      <c r="N12" s="8"/>
      <c r="O12" s="8"/>
    </row>
    <row r="13" spans="1:15">
      <c r="G13" s="8"/>
      <c r="H13" s="8"/>
      <c r="I13" s="8"/>
      <c r="J13" s="8"/>
      <c r="K13" s="8"/>
      <c r="L13" s="8"/>
      <c r="M13" s="8"/>
      <c r="N13" s="8"/>
      <c r="O13" s="8"/>
    </row>
    <row r="14" spans="1:15">
      <c r="G14" s="8"/>
      <c r="H14" s="8"/>
      <c r="I14" s="8"/>
      <c r="J14" s="8"/>
      <c r="K14" s="8"/>
      <c r="L14" s="8"/>
      <c r="M14" s="8"/>
      <c r="N14" s="8"/>
      <c r="O14" s="8"/>
    </row>
    <row r="15" spans="1:15">
      <c r="G15" s="8"/>
      <c r="H15" s="8"/>
      <c r="I15" s="8"/>
      <c r="J15" s="8"/>
      <c r="K15" s="8"/>
      <c r="L15" s="8"/>
      <c r="M15" s="8"/>
      <c r="N15" s="8"/>
      <c r="O15" s="8"/>
    </row>
    <row r="16" spans="1:15">
      <c r="G16" s="8"/>
      <c r="H16" s="8"/>
      <c r="I16" s="8"/>
      <c r="J16" s="8"/>
      <c r="K16" s="8"/>
      <c r="L16" s="8"/>
      <c r="M16" s="8"/>
      <c r="N16" s="8"/>
      <c r="O16" s="8"/>
    </row>
    <row r="17" spans="7:15">
      <c r="G17" s="8"/>
      <c r="H17" s="8"/>
      <c r="I17" s="8"/>
      <c r="J17" s="8"/>
      <c r="K17" s="8"/>
      <c r="L17" s="8"/>
      <c r="M17" s="8"/>
      <c r="N17" s="8"/>
      <c r="O17" s="8"/>
    </row>
  </sheetData>
  <mergeCells count="1">
    <mergeCell ref="G2:O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250B4-2488-417B-A189-9CC1BAA3846B}">
  <dimension ref="A1:O15"/>
  <sheetViews>
    <sheetView workbookViewId="0">
      <selection activeCell="D2" sqref="D2:D5"/>
    </sheetView>
  </sheetViews>
  <sheetFormatPr defaultRowHeight="15"/>
  <cols>
    <col min="1" max="1" width="16.5703125" customWidth="1"/>
    <col min="3" max="3" width="17.42578125" customWidth="1"/>
    <col min="4" max="4" width="14.28515625" customWidth="1"/>
  </cols>
  <sheetData>
    <row r="1" spans="1:15" ht="16.5">
      <c r="A1" s="1" t="s">
        <v>38</v>
      </c>
      <c r="B1" s="1" t="s">
        <v>11</v>
      </c>
      <c r="C1" s="1" t="s">
        <v>39</v>
      </c>
      <c r="D1" s="1" t="s">
        <v>40</v>
      </c>
    </row>
    <row r="2" spans="1:15" ht="17.25">
      <c r="A2" s="2" t="s">
        <v>13</v>
      </c>
      <c r="B2" s="2">
        <v>35000</v>
      </c>
      <c r="C2" s="2">
        <v>720</v>
      </c>
      <c r="D2" s="2" t="str">
        <f>IF(OR(B2&gt;=40000,C2&gt;=700),"Approval","Not Approve")</f>
        <v>Approval</v>
      </c>
      <c r="H2" s="7" t="s">
        <v>41</v>
      </c>
      <c r="I2" s="8"/>
      <c r="J2" s="8"/>
      <c r="K2" s="8"/>
      <c r="L2" s="8"/>
      <c r="M2" s="8"/>
      <c r="N2" s="8"/>
      <c r="O2" s="8"/>
    </row>
    <row r="3" spans="1:15" ht="17.25">
      <c r="A3" s="3" t="s">
        <v>14</v>
      </c>
      <c r="B3" s="3">
        <v>25000</v>
      </c>
      <c r="C3" s="3">
        <v>680</v>
      </c>
      <c r="D3" s="2" t="str">
        <f t="shared" ref="D3:D5" si="0">IF(OR(B3&gt;=40000,C3&gt;=700),"Approval","Not Approve")</f>
        <v>Not Approve</v>
      </c>
      <c r="H3" s="8"/>
      <c r="I3" s="8"/>
      <c r="J3" s="8"/>
      <c r="K3" s="8"/>
      <c r="L3" s="8"/>
      <c r="M3" s="8"/>
      <c r="N3" s="8"/>
      <c r="O3" s="8"/>
    </row>
    <row r="4" spans="1:15" ht="17.25">
      <c r="A4" s="2" t="s">
        <v>16</v>
      </c>
      <c r="B4" s="2">
        <v>50000</v>
      </c>
      <c r="C4" s="2">
        <v>650</v>
      </c>
      <c r="D4" s="2" t="str">
        <f t="shared" si="0"/>
        <v>Approval</v>
      </c>
      <c r="H4" s="8"/>
      <c r="I4" s="8"/>
      <c r="J4" s="8"/>
      <c r="K4" s="8"/>
      <c r="L4" s="8"/>
      <c r="M4" s="8"/>
      <c r="N4" s="8"/>
      <c r="O4" s="8"/>
    </row>
    <row r="5" spans="1:15" ht="17.25">
      <c r="A5" s="3" t="s">
        <v>17</v>
      </c>
      <c r="B5" s="3">
        <v>20000</v>
      </c>
      <c r="C5" s="3">
        <v>600</v>
      </c>
      <c r="D5" s="2" t="str">
        <f t="shared" si="0"/>
        <v>Not Approve</v>
      </c>
      <c r="H5" s="8"/>
      <c r="I5" s="8"/>
      <c r="J5" s="8"/>
      <c r="K5" s="8"/>
      <c r="L5" s="8"/>
      <c r="M5" s="8"/>
      <c r="N5" s="8"/>
      <c r="O5" s="8"/>
    </row>
    <row r="6" spans="1:15">
      <c r="H6" s="8"/>
      <c r="I6" s="8"/>
      <c r="J6" s="8"/>
      <c r="K6" s="8"/>
      <c r="L6" s="8"/>
      <c r="M6" s="8"/>
      <c r="N6" s="8"/>
      <c r="O6" s="8"/>
    </row>
    <row r="7" spans="1:15">
      <c r="H7" s="8"/>
      <c r="I7" s="8"/>
      <c r="J7" s="8"/>
      <c r="K7" s="8"/>
      <c r="L7" s="8"/>
      <c r="M7" s="8"/>
      <c r="N7" s="8"/>
      <c r="O7" s="8"/>
    </row>
    <row r="8" spans="1:15">
      <c r="H8" s="8"/>
      <c r="I8" s="8"/>
      <c r="J8" s="8"/>
      <c r="K8" s="8"/>
      <c r="L8" s="8"/>
      <c r="M8" s="8"/>
      <c r="N8" s="8"/>
      <c r="O8" s="8"/>
    </row>
    <row r="9" spans="1:15">
      <c r="H9" s="8"/>
      <c r="I9" s="8"/>
      <c r="J9" s="8"/>
      <c r="K9" s="8"/>
      <c r="L9" s="8"/>
      <c r="M9" s="8"/>
      <c r="N9" s="8"/>
      <c r="O9" s="8"/>
    </row>
    <row r="10" spans="1:15">
      <c r="H10" s="8"/>
      <c r="I10" s="8"/>
      <c r="J10" s="8"/>
      <c r="K10" s="8"/>
      <c r="L10" s="8"/>
      <c r="M10" s="8"/>
      <c r="N10" s="8"/>
      <c r="O10" s="8"/>
    </row>
    <row r="11" spans="1:15">
      <c r="H11" s="8"/>
      <c r="I11" s="8"/>
      <c r="J11" s="8"/>
      <c r="K11" s="8"/>
      <c r="L11" s="8"/>
      <c r="M11" s="8"/>
      <c r="N11" s="8"/>
      <c r="O11" s="8"/>
    </row>
    <row r="12" spans="1:15">
      <c r="H12" s="8"/>
      <c r="I12" s="8"/>
      <c r="J12" s="8"/>
      <c r="K12" s="8"/>
      <c r="L12" s="8"/>
      <c r="M12" s="8"/>
      <c r="N12" s="8"/>
      <c r="O12" s="8"/>
    </row>
    <row r="13" spans="1:15">
      <c r="H13" s="8"/>
      <c r="I13" s="8"/>
      <c r="J13" s="8"/>
      <c r="K13" s="8"/>
      <c r="L13" s="8"/>
      <c r="M13" s="8"/>
      <c r="N13" s="8"/>
      <c r="O13" s="8"/>
    </row>
    <row r="14" spans="1:15">
      <c r="H14" s="8"/>
      <c r="I14" s="8"/>
      <c r="J14" s="8"/>
      <c r="K14" s="8"/>
      <c r="L14" s="8"/>
      <c r="M14" s="8"/>
      <c r="N14" s="8"/>
      <c r="O14" s="8"/>
    </row>
    <row r="15" spans="1:15">
      <c r="H15" s="8"/>
      <c r="I15" s="8"/>
      <c r="J15" s="8"/>
      <c r="K15" s="8"/>
      <c r="L15" s="8"/>
      <c r="M15" s="8"/>
      <c r="N15" s="8"/>
      <c r="O15" s="8"/>
    </row>
  </sheetData>
  <mergeCells count="1">
    <mergeCell ref="H2:O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F2FAA-AB64-49FC-ACF5-10B97267D772}">
  <dimension ref="A1:O17"/>
  <sheetViews>
    <sheetView workbookViewId="0">
      <selection activeCell="D3" sqref="D3"/>
    </sheetView>
  </sheetViews>
  <sheetFormatPr defaultRowHeight="15"/>
  <sheetData>
    <row r="1" spans="1:15" ht="16.5">
      <c r="A1" s="1" t="s">
        <v>20</v>
      </c>
      <c r="B1" s="1" t="s">
        <v>42</v>
      </c>
      <c r="C1" s="1" t="s">
        <v>43</v>
      </c>
    </row>
    <row r="2" spans="1:15" ht="17.25">
      <c r="A2" s="2" t="s">
        <v>4</v>
      </c>
      <c r="B2" s="2" t="b">
        <v>1</v>
      </c>
      <c r="C2" s="2" t="str">
        <f>IF(NOT(B2),"Absent","Present")</f>
        <v>Present</v>
      </c>
    </row>
    <row r="3" spans="1:15" ht="17.25">
      <c r="A3" s="3" t="s">
        <v>5</v>
      </c>
      <c r="B3" s="3" t="b">
        <v>0</v>
      </c>
      <c r="C3" s="2" t="str">
        <f t="shared" ref="C3:C5" si="0">IF(NOT(B3),"Absent","Present")</f>
        <v>Absent</v>
      </c>
      <c r="H3" s="7" t="s">
        <v>44</v>
      </c>
      <c r="I3" s="8"/>
      <c r="J3" s="8"/>
      <c r="K3" s="8"/>
      <c r="L3" s="8"/>
      <c r="M3" s="8"/>
      <c r="N3" s="8"/>
      <c r="O3" s="8"/>
    </row>
    <row r="4" spans="1:15" ht="17.25">
      <c r="A4" s="2" t="s">
        <v>6</v>
      </c>
      <c r="B4" s="2" t="b">
        <v>1</v>
      </c>
      <c r="C4" s="2" t="str">
        <f t="shared" si="0"/>
        <v>Present</v>
      </c>
      <c r="H4" s="8"/>
      <c r="I4" s="8"/>
      <c r="J4" s="8"/>
      <c r="K4" s="8"/>
      <c r="L4" s="8"/>
      <c r="M4" s="8"/>
      <c r="N4" s="8"/>
      <c r="O4" s="8"/>
    </row>
    <row r="5" spans="1:15" ht="17.25">
      <c r="A5" s="3" t="s">
        <v>7</v>
      </c>
      <c r="B5" s="3" t="b">
        <v>0</v>
      </c>
      <c r="C5" s="2" t="str">
        <f t="shared" si="0"/>
        <v>Absent</v>
      </c>
      <c r="H5" s="8"/>
      <c r="I5" s="8"/>
      <c r="J5" s="8"/>
      <c r="K5" s="8"/>
      <c r="L5" s="8"/>
      <c r="M5" s="8"/>
      <c r="N5" s="8"/>
      <c r="O5" s="8"/>
    </row>
    <row r="6" spans="1:15">
      <c r="H6" s="8"/>
      <c r="I6" s="8"/>
      <c r="J6" s="8"/>
      <c r="K6" s="8"/>
      <c r="L6" s="8"/>
      <c r="M6" s="8"/>
      <c r="N6" s="8"/>
      <c r="O6" s="8"/>
    </row>
    <row r="7" spans="1:15">
      <c r="H7" s="8"/>
      <c r="I7" s="8"/>
      <c r="J7" s="8"/>
      <c r="K7" s="8"/>
      <c r="L7" s="8"/>
      <c r="M7" s="8"/>
      <c r="N7" s="8"/>
      <c r="O7" s="8"/>
    </row>
    <row r="8" spans="1:15">
      <c r="H8" s="8"/>
      <c r="I8" s="8"/>
      <c r="J8" s="8"/>
      <c r="K8" s="8"/>
      <c r="L8" s="8"/>
      <c r="M8" s="8"/>
      <c r="N8" s="8"/>
      <c r="O8" s="8"/>
    </row>
    <row r="9" spans="1:15">
      <c r="H9" s="8"/>
      <c r="I9" s="8"/>
      <c r="J9" s="8"/>
      <c r="K9" s="8"/>
      <c r="L9" s="8"/>
      <c r="M9" s="8"/>
      <c r="N9" s="8"/>
      <c r="O9" s="8"/>
    </row>
    <row r="10" spans="1:15">
      <c r="H10" s="8"/>
      <c r="I10" s="8"/>
      <c r="J10" s="8"/>
      <c r="K10" s="8"/>
      <c r="L10" s="8"/>
      <c r="M10" s="8"/>
      <c r="N10" s="8"/>
      <c r="O10" s="8"/>
    </row>
    <row r="11" spans="1:15">
      <c r="H11" s="8"/>
      <c r="I11" s="8"/>
      <c r="J11" s="8"/>
      <c r="K11" s="8"/>
      <c r="L11" s="8"/>
      <c r="M11" s="8"/>
      <c r="N11" s="8"/>
      <c r="O11" s="8"/>
    </row>
    <row r="12" spans="1:15">
      <c r="H12" s="8"/>
      <c r="I12" s="8"/>
      <c r="J12" s="8"/>
      <c r="K12" s="8"/>
      <c r="L12" s="8"/>
      <c r="M12" s="8"/>
      <c r="N12" s="8"/>
      <c r="O12" s="8"/>
    </row>
    <row r="13" spans="1:15">
      <c r="H13" s="8"/>
      <c r="I13" s="8"/>
      <c r="J13" s="8"/>
      <c r="K13" s="8"/>
      <c r="L13" s="8"/>
      <c r="M13" s="8"/>
      <c r="N13" s="8"/>
      <c r="O13" s="8"/>
    </row>
    <row r="14" spans="1:15">
      <c r="H14" s="8"/>
      <c r="I14" s="8"/>
      <c r="J14" s="8"/>
      <c r="K14" s="8"/>
      <c r="L14" s="8"/>
      <c r="M14" s="8"/>
      <c r="N14" s="8"/>
      <c r="O14" s="8"/>
    </row>
    <row r="15" spans="1:15">
      <c r="H15" s="8"/>
      <c r="I15" s="8"/>
      <c r="J15" s="8"/>
      <c r="K15" s="8"/>
      <c r="L15" s="8"/>
      <c r="M15" s="8"/>
      <c r="N15" s="8"/>
      <c r="O15" s="8"/>
    </row>
    <row r="16" spans="1:15">
      <c r="H16" s="8"/>
      <c r="I16" s="8"/>
      <c r="J16" s="8"/>
      <c r="K16" s="8"/>
      <c r="L16" s="8"/>
      <c r="M16" s="8"/>
      <c r="N16" s="8"/>
      <c r="O16" s="8"/>
    </row>
    <row r="17" spans="8:15">
      <c r="H17" s="8"/>
      <c r="I17" s="8"/>
      <c r="J17" s="8"/>
      <c r="K17" s="8"/>
      <c r="L17" s="8"/>
      <c r="M17" s="8"/>
      <c r="N17" s="8"/>
      <c r="O17" s="8"/>
    </row>
  </sheetData>
  <mergeCells count="1">
    <mergeCell ref="H3:O1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19D31-E9F6-4435-8E52-254ECE54A3A0}">
  <dimension ref="A1:O16"/>
  <sheetViews>
    <sheetView workbookViewId="0">
      <selection activeCell="C4" sqref="C4"/>
    </sheetView>
  </sheetViews>
  <sheetFormatPr defaultRowHeight="15"/>
  <cols>
    <col min="1" max="1" width="10.85546875" customWidth="1"/>
    <col min="2" max="2" width="12.28515625" customWidth="1"/>
    <col min="3" max="3" width="30.28515625" customWidth="1"/>
  </cols>
  <sheetData>
    <row r="1" spans="1:15" ht="33.75">
      <c r="A1" s="1" t="s">
        <v>45</v>
      </c>
      <c r="B1" s="1" t="s">
        <v>46</v>
      </c>
      <c r="C1" s="1" t="s">
        <v>3</v>
      </c>
    </row>
    <row r="2" spans="1:15" ht="70.5">
      <c r="A2" s="2">
        <v>10</v>
      </c>
      <c r="B2" s="2">
        <v>2</v>
      </c>
      <c r="C2" s="2">
        <f>IFERROR(A2/B2,"Invalid")</f>
        <v>5</v>
      </c>
      <c r="H2" s="7" t="s">
        <v>47</v>
      </c>
      <c r="I2" s="8"/>
      <c r="J2" s="8"/>
      <c r="K2" s="8"/>
      <c r="L2" s="8"/>
      <c r="M2" s="8"/>
      <c r="N2" s="8"/>
      <c r="O2" s="8"/>
    </row>
    <row r="3" spans="1:15">
      <c r="A3" s="3">
        <v>15</v>
      </c>
      <c r="B3" s="3">
        <v>0</v>
      </c>
      <c r="C3" s="2" t="str">
        <f t="shared" ref="C3:C5" si="0">IFERROR(A3/B3,"Invalid")</f>
        <v>Invalid</v>
      </c>
      <c r="H3" s="8"/>
      <c r="I3" s="8"/>
      <c r="J3" s="8"/>
      <c r="K3" s="8"/>
      <c r="L3" s="8"/>
      <c r="M3" s="8"/>
      <c r="N3" s="8"/>
      <c r="O3" s="8"/>
    </row>
    <row r="4" spans="1:15">
      <c r="A4" s="2">
        <v>20</v>
      </c>
      <c r="B4" s="2">
        <v>5</v>
      </c>
      <c r="C4" s="2">
        <f t="shared" si="0"/>
        <v>4</v>
      </c>
      <c r="H4" s="8"/>
      <c r="I4" s="8"/>
      <c r="J4" s="8"/>
      <c r="K4" s="8"/>
      <c r="L4" s="8"/>
      <c r="M4" s="8"/>
      <c r="N4" s="8"/>
      <c r="O4" s="8"/>
    </row>
    <row r="5" spans="1:15">
      <c r="A5" s="3">
        <v>8</v>
      </c>
      <c r="B5" s="3">
        <v>0</v>
      </c>
      <c r="C5" s="2" t="str">
        <f t="shared" si="0"/>
        <v>Invalid</v>
      </c>
      <c r="H5" s="8"/>
      <c r="I5" s="8"/>
      <c r="J5" s="8"/>
      <c r="K5" s="8"/>
      <c r="L5" s="8"/>
      <c r="M5" s="8"/>
      <c r="N5" s="8"/>
      <c r="O5" s="8"/>
    </row>
    <row r="6" spans="1:15">
      <c r="H6" s="8"/>
      <c r="I6" s="8"/>
      <c r="J6" s="8"/>
      <c r="K6" s="8"/>
      <c r="L6" s="8"/>
      <c r="M6" s="8"/>
      <c r="N6" s="8"/>
      <c r="O6" s="8"/>
    </row>
    <row r="7" spans="1:15">
      <c r="H7" s="8"/>
      <c r="I7" s="8"/>
      <c r="J7" s="8"/>
      <c r="K7" s="8"/>
      <c r="L7" s="8"/>
      <c r="M7" s="8"/>
      <c r="N7" s="8"/>
      <c r="O7" s="8"/>
    </row>
    <row r="8" spans="1:15">
      <c r="H8" s="8"/>
      <c r="I8" s="8"/>
      <c r="J8" s="8"/>
      <c r="K8" s="8"/>
      <c r="L8" s="8"/>
      <c r="M8" s="8"/>
      <c r="N8" s="8"/>
      <c r="O8" s="8"/>
    </row>
    <row r="9" spans="1:15">
      <c r="H9" s="8"/>
      <c r="I9" s="8"/>
      <c r="J9" s="8"/>
      <c r="K9" s="8"/>
      <c r="L9" s="8"/>
      <c r="M9" s="8"/>
      <c r="N9" s="8"/>
      <c r="O9" s="8"/>
    </row>
    <row r="10" spans="1:15">
      <c r="H10" s="8"/>
      <c r="I10" s="8"/>
      <c r="J10" s="8"/>
      <c r="K10" s="8"/>
      <c r="L10" s="8"/>
      <c r="M10" s="8"/>
      <c r="N10" s="8"/>
      <c r="O10" s="8"/>
    </row>
    <row r="11" spans="1:15">
      <c r="H11" s="8"/>
      <c r="I11" s="8"/>
      <c r="J11" s="8"/>
      <c r="K11" s="8"/>
      <c r="L11" s="8"/>
      <c r="M11" s="8"/>
      <c r="N11" s="8"/>
      <c r="O11" s="8"/>
    </row>
    <row r="12" spans="1:15">
      <c r="H12" s="8"/>
      <c r="I12" s="8"/>
      <c r="J12" s="8"/>
      <c r="K12" s="8"/>
      <c r="L12" s="8"/>
      <c r="M12" s="8"/>
      <c r="N12" s="8"/>
      <c r="O12" s="8"/>
    </row>
    <row r="13" spans="1:15">
      <c r="H13" s="8"/>
      <c r="I13" s="8"/>
      <c r="J13" s="8"/>
      <c r="K13" s="8"/>
      <c r="L13" s="8"/>
      <c r="M13" s="8"/>
      <c r="N13" s="8"/>
      <c r="O13" s="8"/>
    </row>
    <row r="14" spans="1:15">
      <c r="H14" s="8"/>
      <c r="I14" s="8"/>
      <c r="J14" s="8"/>
      <c r="K14" s="8"/>
      <c r="L14" s="8"/>
      <c r="M14" s="8"/>
      <c r="N14" s="8"/>
      <c r="O14" s="8"/>
    </row>
    <row r="15" spans="1:15">
      <c r="H15" s="8"/>
      <c r="I15" s="8"/>
      <c r="J15" s="8"/>
      <c r="K15" s="8"/>
      <c r="L15" s="8"/>
      <c r="M15" s="8"/>
      <c r="N15" s="8"/>
      <c r="O15" s="8"/>
    </row>
    <row r="16" spans="1:15">
      <c r="H16" s="8"/>
      <c r="I16" s="8"/>
      <c r="J16" s="8"/>
      <c r="K16" s="8"/>
      <c r="L16" s="8"/>
      <c r="M16" s="8"/>
      <c r="N16" s="8"/>
      <c r="O16" s="8"/>
    </row>
  </sheetData>
  <mergeCells count="1">
    <mergeCell ref="H2:O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89915-7D59-4C61-964F-BE538DD13878}">
  <dimension ref="A1:P15"/>
  <sheetViews>
    <sheetView tabSelected="1" workbookViewId="0">
      <selection activeCell="D2" sqref="D2:D5"/>
    </sheetView>
  </sheetViews>
  <sheetFormatPr defaultRowHeight="15"/>
  <cols>
    <col min="1" max="1" width="20.5703125" customWidth="1"/>
    <col min="2" max="2" width="25.85546875" customWidth="1"/>
    <col min="3" max="3" width="17.28515625" customWidth="1"/>
    <col min="4" max="4" width="22" customWidth="1"/>
  </cols>
  <sheetData>
    <row r="1" spans="1:16" ht="16.5">
      <c r="A1" s="1" t="s">
        <v>10</v>
      </c>
      <c r="B1" s="1" t="s">
        <v>48</v>
      </c>
      <c r="C1" s="1" t="s">
        <v>25</v>
      </c>
      <c r="D1" s="1" t="s">
        <v>49</v>
      </c>
    </row>
    <row r="2" spans="1:16" ht="124.5">
      <c r="A2" s="2" t="s">
        <v>50</v>
      </c>
      <c r="B2" s="2">
        <v>45</v>
      </c>
      <c r="C2" s="2">
        <v>92</v>
      </c>
      <c r="D2" s="2" t="str">
        <f>IF(AND(B2&gt;=40,C2&gt;=90),"Excellent",IF(B2&gt;=80,"Good","Need Improvement"))</f>
        <v>Excellent</v>
      </c>
      <c r="G2" s="7" t="s">
        <v>51</v>
      </c>
      <c r="H2" s="8"/>
      <c r="I2" s="8"/>
      <c r="J2" s="8"/>
      <c r="K2" s="8"/>
      <c r="L2" s="8"/>
      <c r="M2" s="8"/>
      <c r="N2" s="8"/>
      <c r="O2" s="8"/>
      <c r="P2" s="8"/>
    </row>
    <row r="3" spans="1:16" ht="17.25">
      <c r="A3" s="3" t="s">
        <v>52</v>
      </c>
      <c r="B3" s="3">
        <v>38</v>
      </c>
      <c r="C3" s="3">
        <v>85</v>
      </c>
      <c r="D3" s="2" t="str">
        <f t="shared" ref="D3:D5" si="0">IF(AND(B3&gt;=40,C3&gt;=90),"Excellent",IF(B3&gt;=80,"Good","Need Improvement"))</f>
        <v>Need Improvement</v>
      </c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7.25">
      <c r="A4" s="2" t="s">
        <v>53</v>
      </c>
      <c r="B4" s="2">
        <v>50</v>
      </c>
      <c r="C4" s="2">
        <v>95</v>
      </c>
      <c r="D4" s="2" t="str">
        <f t="shared" si="0"/>
        <v>Excellent</v>
      </c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7.25">
      <c r="A5" s="3" t="s">
        <v>54</v>
      </c>
      <c r="B5" s="3">
        <v>30</v>
      </c>
      <c r="C5" s="3">
        <v>70</v>
      </c>
      <c r="D5" s="2" t="str">
        <f t="shared" si="0"/>
        <v>Need Improvement</v>
      </c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>
      <c r="G15" s="8"/>
      <c r="H15" s="8"/>
      <c r="I15" s="8"/>
      <c r="J15" s="8"/>
      <c r="K15" s="8"/>
      <c r="L15" s="8"/>
      <c r="M15" s="8"/>
      <c r="N15" s="8"/>
      <c r="O15" s="8"/>
      <c r="P15" s="8"/>
    </row>
  </sheetData>
  <mergeCells count="1">
    <mergeCell ref="G2:P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2026-01-29T08:59:45Z</dcterms:created>
  <dcterms:modified xsi:type="dcterms:W3CDTF">2026-01-29T11:31:43Z</dcterms:modified>
  <cp:category/>
  <cp:contentStatus/>
</cp:coreProperties>
</file>