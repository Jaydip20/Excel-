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91DCD24-968E-4CB0-AADA-DB642C96A499}" xr6:coauthVersionLast="47" xr6:coauthVersionMax="47" xr10:uidLastSave="{00000000-0000-0000-0000-000000000000}"/>
  <bookViews>
    <workbookView xWindow="240" yWindow="105" windowWidth="14805" windowHeight="8010" firstSheet="6" xr2:uid="{00000000-000D-0000-FFFF-FFFF00000000}"/>
  </bookViews>
  <sheets>
    <sheet name="Employee Sheet – Basic Formatti" sheetId="1" r:id="rId1"/>
    <sheet name="Sales Report – Beautification" sheetId="2" r:id="rId2"/>
    <sheet name="Student Marks Sheet – Formattin" sheetId="3" r:id="rId3"/>
    <sheet name="Sales Summary – Aggregation Fun" sheetId="4" r:id="rId4"/>
    <sheet name="Department-wise Salary Analysis" sheetId="5" r:id="rId5"/>
    <sheet name="Attendance Sheet – COUNTIF" sheetId="6" r:id="rId6"/>
    <sheet name="Sales Count Logic" sheetId="7" r:id="rId7"/>
    <sheet name="Conditional Formatting – Sales" sheetId="8" r:id="rId8"/>
    <sheet name="Student Result Highlight" sheetId="9" r:id="rId9"/>
    <sheet name="Salary Band – Conditional Forma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C2" i="7"/>
  <c r="J2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G2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G2" i="4"/>
  <c r="F2" i="4"/>
  <c r="E2" i="4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7" i="3"/>
</calcChain>
</file>

<file path=xl/sharedStrings.xml><?xml version="1.0" encoding="utf-8"?>
<sst xmlns="http://schemas.openxmlformats.org/spreadsheetml/2006/main" count="454" uniqueCount="160">
  <si>
    <t>Employee ID</t>
  </si>
  <si>
    <t>Name</t>
  </si>
  <si>
    <t>Department</t>
  </si>
  <si>
    <t>Salary</t>
  </si>
  <si>
    <t>Joining Date</t>
  </si>
  <si>
    <t>E101</t>
  </si>
  <si>
    <t>Amit Sharma</t>
  </si>
  <si>
    <t>IT</t>
  </si>
  <si>
    <t>E102</t>
  </si>
  <si>
    <t>Neha Verma</t>
  </si>
  <si>
    <t>HR</t>
  </si>
  <si>
    <t>E103</t>
  </si>
  <si>
    <t>Rahul Mehta</t>
  </si>
  <si>
    <t>Finance</t>
  </si>
  <si>
    <t>18/07/20</t>
  </si>
  <si>
    <t>E104</t>
  </si>
  <si>
    <t>Pooja Singh</t>
  </si>
  <si>
    <t>E105</t>
  </si>
  <si>
    <t>Ankit Patel</t>
  </si>
  <si>
    <t>Sales</t>
  </si>
  <si>
    <t>25/06/23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</si>
  <si>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</si>
  <si>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</si>
  <si>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</si>
  <si>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</si>
  <si>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</si>
  <si>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</si>
  <si>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</si>
  <si>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</si>
  <si>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</si>
  <si>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</si>
  <si>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</si>
  <si>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</si>
  <si>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</si>
  <si>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</si>
  <si>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</si>
  <si>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</si>
  <si>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</si>
  <si>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</si>
  <si>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</si>
  <si>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</si>
  <si>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</si>
  <si>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</si>
  <si>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</si>
  <si>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</si>
  <si>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</si>
  <si>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</si>
  <si>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</si>
  <si>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</si>
  <si>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</si>
  <si>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</si>
  <si>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</si>
  <si>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</si>
  <si>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</si>
  <si>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</si>
  <si>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</si>
  <si>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</si>
  <si>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Roll No</t>
  </si>
  <si>
    <t>Student Name</t>
  </si>
  <si>
    <t>Maths</t>
  </si>
  <si>
    <t>Science</t>
  </si>
  <si>
    <t>English</t>
  </si>
  <si>
    <t>total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</si>
  <si>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</si>
  <si>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</si>
  <si>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</si>
  <si>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</si>
  <si>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</si>
  <si>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</si>
  <si>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</si>
  <si>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</si>
  <si>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total sales</t>
  </si>
  <si>
    <t>Average Sales</t>
  </si>
  <si>
    <t xml:space="preserve"> Highest sale</t>
  </si>
  <si>
    <t>Lowest Sale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</si>
  <si>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</si>
  <si>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</si>
  <si>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</si>
  <si>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</si>
  <si>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</si>
  <si>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</si>
  <si>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</si>
  <si>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</si>
  <si>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</si>
  <si>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</si>
  <si>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</si>
  <si>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</si>
  <si>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</si>
  <si>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</si>
  <si>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</si>
  <si>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</si>
  <si>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</si>
  <si>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</si>
  <si>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</si>
  <si>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</si>
  <si>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Employee Name</t>
  </si>
  <si>
    <t>total salary by department</t>
  </si>
  <si>
    <t>Average salary</t>
  </si>
  <si>
    <t>Count employees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</si>
  <si>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</si>
  <si>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</si>
  <si>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</si>
  <si>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</si>
  <si>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</si>
  <si>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</si>
  <si>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</si>
  <si>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</si>
  <si>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</si>
  <si>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</si>
  <si>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</si>
  <si>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Present days</t>
  </si>
  <si>
    <t>Absent days</t>
  </si>
  <si>
    <t>total P</t>
  </si>
  <si>
    <t>total A</t>
  </si>
  <si>
    <t>P</t>
  </si>
  <si>
    <t>A</t>
  </si>
  <si>
    <t>anil</t>
  </si>
  <si>
    <t>vishal</t>
  </si>
  <si>
    <t>meet</t>
  </si>
  <si>
    <t>kishan</t>
  </si>
  <si>
    <t>ravi</t>
  </si>
  <si>
    <t>Order ID</t>
  </si>
  <si>
    <t>sales above 10000</t>
  </si>
  <si>
    <t>sales below 5000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</si>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</sst>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₹-4009]\ #,##0.00"/>
    <numFmt numFmtId="166" formatCode="m/d/yy;@"/>
  </numFmts>
  <fonts count="8">
    <font>
      <sz val="11"/>
      <color theme="1"/>
      <name val="Calibri"/>
      <family val="2"/>
      <scheme val="minor"/>
    </font>
    <font>
      <sz val="12"/>
      <color rgb="FF1F2328"/>
      <name val="-Apple-System"/>
      <charset val="1"/>
    </font>
    <font>
      <b/>
      <sz val="12"/>
      <color rgb="FF1F2328"/>
      <name val="-Apple-System"/>
      <charset val="1"/>
    </font>
    <font>
      <sz val="12"/>
      <color theme="1"/>
      <name val="Calibri"/>
      <family val="2"/>
      <scheme val="minor"/>
    </font>
    <font>
      <sz val="12"/>
      <color theme="1"/>
      <name val="Calibri Light"/>
      <scheme val="major"/>
    </font>
    <font>
      <sz val="12"/>
      <color theme="2" tint="-0.89999084444715716"/>
      <name val="-Apple-System"/>
      <charset val="1"/>
    </font>
    <font>
      <b/>
      <sz val="11"/>
      <color theme="1"/>
      <name val="Calibri"/>
      <family val="2"/>
      <scheme val="minor"/>
    </font>
    <font>
      <sz val="12"/>
      <color rgb="FF1F2328"/>
      <name val="-Apple-System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/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D1D9E0"/>
      </left>
      <right/>
      <top style="thin">
        <color rgb="FFD1D9E0"/>
      </top>
      <bottom style="thin">
        <color rgb="FFD1D9E0"/>
      </bottom>
      <diagonal/>
    </border>
    <border>
      <left/>
      <right style="thin">
        <color rgb="FFD1D9E0"/>
      </right>
      <top/>
      <bottom style="thin">
        <color rgb="FFD1D9E0"/>
      </bottom>
      <diagonal/>
    </border>
    <border>
      <left style="thin">
        <color rgb="FFD1D9E0"/>
      </left>
      <right style="thin">
        <color rgb="FFD1D9E0"/>
      </right>
      <top/>
      <bottom style="thin">
        <color rgb="FFD1D9E0"/>
      </bottom>
      <diagonal/>
    </border>
    <border>
      <left style="thin">
        <color rgb="FFD1D9E0"/>
      </left>
      <right/>
      <top/>
      <bottom style="thin">
        <color rgb="FFD1D9E0"/>
      </bottom>
      <diagonal/>
    </border>
    <border>
      <left/>
      <right style="thin">
        <color rgb="FFD1D9E0"/>
      </right>
      <top style="thin">
        <color rgb="FFD1D9E0"/>
      </top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/>
      <diagonal/>
    </border>
    <border>
      <left/>
      <right/>
      <top/>
      <bottom style="thin">
        <color rgb="FFD1D9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165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65" fontId="3" fillId="0" borderId="0" xfId="0" applyNumberFormat="1" applyFont="1" applyBorder="1"/>
    <xf numFmtId="166" fontId="4" fillId="0" borderId="0" xfId="0" applyNumberFormat="1" applyFont="1" applyBorder="1" applyAlignment="1">
      <alignment wrapText="1"/>
    </xf>
    <xf numFmtId="165" fontId="1" fillId="3" borderId="1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wrapText="1"/>
    </xf>
    <xf numFmtId="164" fontId="1" fillId="2" borderId="3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164" fontId="1" fillId="3" borderId="3" xfId="0" applyNumberFormat="1" applyFont="1" applyFill="1" applyBorder="1" applyAlignment="1">
      <alignment horizontal="right" wrapText="1"/>
    </xf>
    <xf numFmtId="0" fontId="1" fillId="3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165" fontId="0" fillId="0" borderId="0" xfId="0" applyNumberFormat="1"/>
    <xf numFmtId="165" fontId="3" fillId="0" borderId="0" xfId="0" applyNumberFormat="1" applyFont="1"/>
    <xf numFmtId="14" fontId="1" fillId="2" borderId="1" xfId="0" applyNumberFormat="1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6" borderId="10" xfId="0" applyFill="1" applyBorder="1"/>
    <xf numFmtId="10" fontId="0" fillId="6" borderId="10" xfId="0" applyNumberFormat="1" applyFill="1" applyBorder="1"/>
    <xf numFmtId="165" fontId="0" fillId="0" borderId="0" xfId="0" applyNumberFormat="1" applyAlignment="1">
      <alignment wrapText="1"/>
    </xf>
    <xf numFmtId="0" fontId="1" fillId="5" borderId="10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wrapText="1"/>
    </xf>
    <xf numFmtId="10" fontId="5" fillId="6" borderId="10" xfId="0" applyNumberFormat="1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10" fontId="5" fillId="6" borderId="12" xfId="0" applyNumberFormat="1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6" formatCode="m/d/yy;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₹-400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-Apple-System"/>
        <charset val="1"/>
        <scheme val="none"/>
      </font>
      <fill>
        <patternFill patternType="solid">
          <fgColor indexed="64"/>
          <bgColor rgb="FFF6F8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D1D9E0"/>
        </left>
        <right style="thin">
          <color rgb="FFD1D9E0"/>
        </right>
        <top style="thin">
          <color rgb="FFD1D9E0"/>
        </top>
        <bottom style="thin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-Apple-System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D1D9E0"/>
        </left>
        <right style="thin">
          <color rgb="FFD1D9E0"/>
        </right>
        <top style="thin">
          <color rgb="FFD1D9E0"/>
        </top>
        <bottom style="thin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-Apple-System"/>
        <charset val="1"/>
        <scheme val="none"/>
      </font>
      <fill>
        <patternFill patternType="solid">
          <fgColor indexed="64"/>
          <bgColor rgb="FFF6F8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D1D9E0"/>
        </right>
        <top style="thin">
          <color rgb="FFD1D9E0"/>
        </top>
        <bottom style="thin">
          <color rgb="FFD1D9E0"/>
        </bottom>
        <vertical/>
        <horizontal/>
      </border>
    </dxf>
    <dxf>
      <border outline="0">
        <bottom style="thin">
          <color rgb="FFD1D9E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-Apple-System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1D9E0"/>
        </left>
        <right style="thin">
          <color rgb="FFD1D9E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FB28D-D041-4763-8FC5-1F0CC6CEECB5}" name="Table1" displayName="Table1" ref="A1:E21" totalsRowShown="0" headerRowDxfId="18" headerRowBorderDxfId="16" tableBorderDxfId="17">
  <autoFilter ref="A1:E21" xr:uid="{2D8FB28D-D041-4763-8FC5-1F0CC6CEECB5}"/>
  <tableColumns count="5">
    <tableColumn id="1" xr3:uid="{4B68BDD7-6D50-4B1F-B213-C897119B080C}" name="Employee ID" dataDxfId="15"/>
    <tableColumn id="2" xr3:uid="{21D9A0BB-1EE9-435A-8F36-29EEF210B817}" name="Name" dataDxfId="14"/>
    <tableColumn id="3" xr3:uid="{3809E146-33A3-439C-A0D4-6E690F8F354A}" name="Department" dataDxfId="13"/>
    <tableColumn id="4" xr3:uid="{3C2AD9B4-D0A3-4B3B-93AE-13A4BC13895E}" name="Salary" dataDxfId="12"/>
    <tableColumn id="5" xr3:uid="{6D29E049-DDB0-4855-88AD-245A0BF105D0}" name="Joining Date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1" sqref="E21"/>
    </sheetView>
  </sheetViews>
  <sheetFormatPr defaultRowHeight="15"/>
  <cols>
    <col min="1" max="1" width="17" customWidth="1"/>
    <col min="2" max="2" width="15.7109375" customWidth="1"/>
    <col min="3" max="3" width="16.42578125" customWidth="1"/>
    <col min="4" max="4" width="13.5703125" customWidth="1"/>
    <col min="5" max="5" width="17" customWidth="1"/>
  </cols>
  <sheetData>
    <row r="1" spans="1:5" ht="17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</row>
    <row r="2" spans="1:5" ht="17.25">
      <c r="A2" s="11" t="s">
        <v>5</v>
      </c>
      <c r="B2" s="1" t="s">
        <v>6</v>
      </c>
      <c r="C2" s="1" t="s">
        <v>7</v>
      </c>
      <c r="D2" s="2">
        <v>32000</v>
      </c>
      <c r="E2" s="12">
        <v>44896</v>
      </c>
    </row>
    <row r="3" spans="1:5" ht="17.25">
      <c r="A3" s="13" t="s">
        <v>8</v>
      </c>
      <c r="B3" s="3" t="s">
        <v>9</v>
      </c>
      <c r="C3" s="3" t="s">
        <v>10</v>
      </c>
      <c r="D3" s="6">
        <v>45000</v>
      </c>
      <c r="E3" s="14">
        <v>44319</v>
      </c>
    </row>
    <row r="4" spans="1:5" ht="17.25">
      <c r="A4" s="11" t="s">
        <v>11</v>
      </c>
      <c r="B4" s="1" t="s">
        <v>12</v>
      </c>
      <c r="C4" s="1" t="s">
        <v>13</v>
      </c>
      <c r="D4" s="2">
        <v>38000</v>
      </c>
      <c r="E4" s="12" t="s">
        <v>14</v>
      </c>
    </row>
    <row r="5" spans="1:5" ht="17.25">
      <c r="A5" s="13" t="s">
        <v>15</v>
      </c>
      <c r="B5" s="3" t="s">
        <v>16</v>
      </c>
      <c r="C5" s="3" t="s">
        <v>7</v>
      </c>
      <c r="D5" s="6">
        <v>52000</v>
      </c>
      <c r="E5" s="14">
        <v>43749</v>
      </c>
    </row>
    <row r="6" spans="1:5" ht="17.25">
      <c r="A6" s="13" t="s">
        <v>17</v>
      </c>
      <c r="B6" s="1" t="s">
        <v>18</v>
      </c>
      <c r="C6" s="1" t="s">
        <v>19</v>
      </c>
      <c r="D6" s="2">
        <v>30000</v>
      </c>
      <c r="E6" s="12" t="s">
        <v>20</v>
      </c>
    </row>
    <row r="7" spans="1:5" ht="17.25">
      <c r="A7" s="13" t="s">
        <v>21</v>
      </c>
      <c r="B7" s="1" t="s">
        <v>6</v>
      </c>
      <c r="C7" s="3" t="s">
        <v>10</v>
      </c>
      <c r="D7" s="4">
        <v>27875</v>
      </c>
      <c r="E7" s="5">
        <v>41746</v>
      </c>
    </row>
    <row r="8" spans="1:5" ht="17.25">
      <c r="A8" s="13" t="s">
        <v>22</v>
      </c>
      <c r="B8" s="3" t="s">
        <v>9</v>
      </c>
      <c r="C8" s="1" t="s">
        <v>13</v>
      </c>
      <c r="D8" s="4">
        <v>27549</v>
      </c>
      <c r="E8" s="5">
        <v>45900</v>
      </c>
    </row>
    <row r="9" spans="1:5" ht="17.25">
      <c r="A9" s="13" t="s">
        <v>23</v>
      </c>
      <c r="B9" s="1" t="s">
        <v>12</v>
      </c>
      <c r="C9" s="3" t="s">
        <v>7</v>
      </c>
      <c r="D9" s="4">
        <v>34710</v>
      </c>
      <c r="E9" s="5">
        <v>44441</v>
      </c>
    </row>
    <row r="10" spans="1:5" ht="17.25">
      <c r="A10" s="13" t="s">
        <v>24</v>
      </c>
      <c r="B10" s="3" t="s">
        <v>16</v>
      </c>
      <c r="C10" s="1" t="s">
        <v>19</v>
      </c>
      <c r="D10" s="4">
        <v>38965</v>
      </c>
      <c r="E10" s="5">
        <v>42670</v>
      </c>
    </row>
    <row r="11" spans="1:5" ht="17.25">
      <c r="A11" s="13" t="s">
        <v>25</v>
      </c>
      <c r="B11" s="1" t="s">
        <v>18</v>
      </c>
      <c r="C11" s="3" t="s">
        <v>10</v>
      </c>
      <c r="D11" s="4">
        <v>26172</v>
      </c>
      <c r="E11" s="5">
        <v>43051</v>
      </c>
    </row>
    <row r="12" spans="1:5" ht="17.25">
      <c r="A12" s="13" t="s">
        <v>26</v>
      </c>
      <c r="B12" s="1" t="s">
        <v>6</v>
      </c>
      <c r="C12" s="1" t="s">
        <v>13</v>
      </c>
      <c r="D12" s="4">
        <v>36352</v>
      </c>
      <c r="E12" s="5">
        <v>44844</v>
      </c>
    </row>
    <row r="13" spans="1:5" ht="17.25">
      <c r="A13" s="13" t="s">
        <v>27</v>
      </c>
      <c r="B13" s="3" t="s">
        <v>9</v>
      </c>
      <c r="C13" s="3" t="s">
        <v>7</v>
      </c>
      <c r="D13" s="4">
        <v>17050</v>
      </c>
      <c r="E13" s="5">
        <v>44150</v>
      </c>
    </row>
    <row r="14" spans="1:5" ht="17.25">
      <c r="A14" s="13" t="s">
        <v>28</v>
      </c>
      <c r="B14" s="1" t="s">
        <v>12</v>
      </c>
      <c r="C14" s="1" t="s">
        <v>19</v>
      </c>
      <c r="D14" s="4">
        <v>35097</v>
      </c>
      <c r="E14" s="5">
        <v>44646</v>
      </c>
    </row>
    <row r="15" spans="1:5" ht="17.25">
      <c r="A15" s="13" t="s">
        <v>29</v>
      </c>
      <c r="B15" s="3" t="s">
        <v>16</v>
      </c>
      <c r="C15" s="3" t="s">
        <v>10</v>
      </c>
      <c r="D15" s="4">
        <v>38713</v>
      </c>
      <c r="E15" s="5">
        <v>43344</v>
      </c>
    </row>
    <row r="16" spans="1:5" ht="17.25">
      <c r="A16" s="13" t="s">
        <v>30</v>
      </c>
      <c r="B16" s="1" t="s">
        <v>18</v>
      </c>
      <c r="C16" s="1" t="s">
        <v>13</v>
      </c>
      <c r="D16" s="4">
        <v>28070</v>
      </c>
      <c r="E16" s="5">
        <v>45257</v>
      </c>
    </row>
    <row r="17" spans="1:5" ht="17.25">
      <c r="A17" s="13" t="s">
        <v>31</v>
      </c>
      <c r="B17" s="1" t="s">
        <v>6</v>
      </c>
      <c r="C17" s="3" t="s">
        <v>7</v>
      </c>
      <c r="D17" s="4">
        <v>12920</v>
      </c>
      <c r="E17" s="5">
        <v>41104</v>
      </c>
    </row>
    <row r="18" spans="1:5" ht="17.25">
      <c r="A18" s="13" t="s">
        <v>32</v>
      </c>
      <c r="B18" s="3" t="s">
        <v>9</v>
      </c>
      <c r="C18" s="1" t="s">
        <v>19</v>
      </c>
      <c r="D18" s="4">
        <v>23140</v>
      </c>
      <c r="E18" s="5">
        <v>43001</v>
      </c>
    </row>
    <row r="19" spans="1:5" ht="17.25">
      <c r="A19" s="13" t="s">
        <v>33</v>
      </c>
      <c r="B19" s="1" t="s">
        <v>12</v>
      </c>
      <c r="C19" s="3" t="s">
        <v>10</v>
      </c>
      <c r="D19" s="4">
        <v>23097</v>
      </c>
      <c r="E19" s="5">
        <v>44876</v>
      </c>
    </row>
    <row r="20" spans="1:5" ht="17.25">
      <c r="A20" s="13" t="s">
        <v>34</v>
      </c>
      <c r="B20" s="3" t="s">
        <v>16</v>
      </c>
      <c r="C20" s="1" t="s">
        <v>13</v>
      </c>
      <c r="D20" s="4">
        <v>33796</v>
      </c>
      <c r="E20" s="5">
        <v>43484</v>
      </c>
    </row>
    <row r="21" spans="1:5" ht="17.25">
      <c r="A21" s="15" t="s">
        <v>35</v>
      </c>
      <c r="B21" s="16" t="s">
        <v>18</v>
      </c>
      <c r="C21" s="17" t="s">
        <v>7</v>
      </c>
      <c r="D21" s="4">
        <v>26544</v>
      </c>
      <c r="E21" s="5">
        <v>45529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99E8-3C15-4E22-9E39-9D688D5C8F6E}">
  <dimension ref="A1:E22"/>
  <sheetViews>
    <sheetView workbookViewId="0">
      <selection activeCell="D1" sqref="A1:D1"/>
    </sheetView>
  </sheetViews>
  <sheetFormatPr defaultRowHeight="15"/>
  <cols>
    <col min="1" max="1" width="30.42578125" customWidth="1"/>
    <col min="2" max="2" width="14.7109375" customWidth="1"/>
    <col min="3" max="3" width="19.28515625" customWidth="1"/>
    <col min="4" max="4" width="18" customWidth="1"/>
    <col min="5" max="5" width="23.7109375" bestFit="1" customWidth="1"/>
  </cols>
  <sheetData>
    <row r="1" spans="1:5" ht="15.75">
      <c r="A1" s="43" t="s">
        <v>36</v>
      </c>
      <c r="B1" s="43"/>
      <c r="C1" s="43"/>
      <c r="D1" s="43"/>
    </row>
    <row r="2" spans="1:5" ht="17.25">
      <c r="A2" s="18" t="s">
        <v>37</v>
      </c>
      <c r="B2" s="18" t="s">
        <v>38</v>
      </c>
      <c r="C2" s="18" t="s">
        <v>39</v>
      </c>
      <c r="D2" s="18" t="s">
        <v>40</v>
      </c>
      <c r="E2" s="19"/>
    </row>
    <row r="3" spans="1:5" ht="17.25">
      <c r="A3" s="1" t="s">
        <v>41</v>
      </c>
      <c r="B3" s="1" t="s">
        <v>42</v>
      </c>
      <c r="C3" s="2">
        <v>45000</v>
      </c>
      <c r="D3" s="1" t="s">
        <v>43</v>
      </c>
    </row>
    <row r="4" spans="1:5" ht="17.25">
      <c r="A4" s="21" t="s">
        <v>44</v>
      </c>
      <c r="B4" s="3" t="s">
        <v>45</v>
      </c>
      <c r="C4" s="6">
        <v>1200</v>
      </c>
      <c r="D4" s="3" t="s">
        <v>46</v>
      </c>
    </row>
    <row r="5" spans="1:5" ht="17.25">
      <c r="A5" s="20" t="s">
        <v>47</v>
      </c>
      <c r="B5" s="1" t="s">
        <v>48</v>
      </c>
      <c r="C5" s="2">
        <v>18000</v>
      </c>
      <c r="D5" s="1" t="s">
        <v>49</v>
      </c>
    </row>
    <row r="6" spans="1:5" ht="17.25">
      <c r="A6" s="21" t="s">
        <v>50</v>
      </c>
      <c r="B6" s="3" t="s">
        <v>51</v>
      </c>
      <c r="C6" s="6">
        <v>62000</v>
      </c>
      <c r="D6" s="3" t="s">
        <v>52</v>
      </c>
    </row>
    <row r="7" spans="1:5" ht="17.25">
      <c r="A7" s="1" t="s">
        <v>53</v>
      </c>
      <c r="B7" s="1" t="s">
        <v>42</v>
      </c>
      <c r="C7" s="23">
        <v>42130</v>
      </c>
      <c r="D7" s="1" t="s">
        <v>43</v>
      </c>
    </row>
    <row r="8" spans="1:5" ht="17.25">
      <c r="A8" s="21" t="s">
        <v>44</v>
      </c>
      <c r="B8" s="3" t="s">
        <v>45</v>
      </c>
      <c r="C8" s="23">
        <v>67578</v>
      </c>
      <c r="D8" s="3" t="s">
        <v>46</v>
      </c>
    </row>
    <row r="9" spans="1:5" ht="17.25">
      <c r="A9" s="20" t="s">
        <v>47</v>
      </c>
      <c r="B9" s="1" t="s">
        <v>48</v>
      </c>
      <c r="C9" s="23">
        <v>26694</v>
      </c>
      <c r="D9" s="1" t="s">
        <v>49</v>
      </c>
    </row>
    <row r="10" spans="1:5" ht="17.25">
      <c r="A10" s="21" t="s">
        <v>50</v>
      </c>
      <c r="B10" s="3" t="s">
        <v>51</v>
      </c>
      <c r="C10" s="23">
        <v>23475</v>
      </c>
      <c r="D10" s="3" t="s">
        <v>52</v>
      </c>
    </row>
    <row r="11" spans="1:5" ht="17.25">
      <c r="A11" s="1" t="s">
        <v>54</v>
      </c>
      <c r="B11" s="1" t="s">
        <v>42</v>
      </c>
      <c r="C11" s="23">
        <v>31227</v>
      </c>
      <c r="D11" s="1" t="s">
        <v>43</v>
      </c>
    </row>
    <row r="12" spans="1:5" ht="17.25">
      <c r="A12" s="21" t="s">
        <v>44</v>
      </c>
      <c r="B12" s="3" t="s">
        <v>45</v>
      </c>
      <c r="C12" s="23">
        <v>20832</v>
      </c>
      <c r="D12" s="3" t="s">
        <v>46</v>
      </c>
    </row>
    <row r="13" spans="1:5" ht="17.25">
      <c r="A13" s="20" t="s">
        <v>47</v>
      </c>
      <c r="B13" s="1" t="s">
        <v>48</v>
      </c>
      <c r="C13" s="23">
        <v>18232</v>
      </c>
      <c r="D13" s="1" t="s">
        <v>49</v>
      </c>
    </row>
    <row r="14" spans="1:5" ht="17.25">
      <c r="A14" s="21" t="s">
        <v>50</v>
      </c>
      <c r="B14" s="3" t="s">
        <v>51</v>
      </c>
      <c r="C14" s="23">
        <v>34388</v>
      </c>
      <c r="D14" s="3" t="s">
        <v>52</v>
      </c>
    </row>
    <row r="15" spans="1:5" ht="17.25">
      <c r="A15" s="1" t="s">
        <v>55</v>
      </c>
      <c r="B15" s="1" t="s">
        <v>42</v>
      </c>
      <c r="C15" s="23">
        <v>16998</v>
      </c>
      <c r="D15" s="1" t="s">
        <v>43</v>
      </c>
    </row>
    <row r="16" spans="1:5" ht="17.25">
      <c r="A16" s="21" t="s">
        <v>44</v>
      </c>
      <c r="B16" s="3" t="s">
        <v>45</v>
      </c>
      <c r="C16" s="23">
        <v>34447</v>
      </c>
      <c r="D16" s="3" t="s">
        <v>46</v>
      </c>
    </row>
    <row r="17" spans="1:4" ht="17.25">
      <c r="A17" s="20" t="s">
        <v>47</v>
      </c>
      <c r="B17" s="1" t="s">
        <v>48</v>
      </c>
      <c r="C17" s="23">
        <v>59037</v>
      </c>
      <c r="D17" s="1" t="s">
        <v>49</v>
      </c>
    </row>
    <row r="18" spans="1:4" ht="17.25">
      <c r="A18" s="21" t="s">
        <v>50</v>
      </c>
      <c r="B18" s="3" t="s">
        <v>51</v>
      </c>
      <c r="C18" s="23">
        <v>64002</v>
      </c>
      <c r="D18" s="3" t="s">
        <v>52</v>
      </c>
    </row>
    <row r="19" spans="1:4" ht="17.25">
      <c r="A19" s="1" t="s">
        <v>56</v>
      </c>
      <c r="B19" s="1" t="s">
        <v>42</v>
      </c>
      <c r="C19" s="23">
        <v>69884</v>
      </c>
      <c r="D19" s="1" t="s">
        <v>43</v>
      </c>
    </row>
    <row r="20" spans="1:4" ht="17.25">
      <c r="A20" s="21" t="s">
        <v>44</v>
      </c>
      <c r="B20" s="3" t="s">
        <v>45</v>
      </c>
      <c r="C20" s="23">
        <v>15686</v>
      </c>
      <c r="D20" s="3" t="s">
        <v>46</v>
      </c>
    </row>
    <row r="21" spans="1:4" ht="17.25">
      <c r="A21" s="20" t="s">
        <v>47</v>
      </c>
      <c r="B21" s="1" t="s">
        <v>48</v>
      </c>
      <c r="C21" s="23">
        <v>53600</v>
      </c>
      <c r="D21" s="1" t="s">
        <v>49</v>
      </c>
    </row>
    <row r="22" spans="1:4" ht="17.25">
      <c r="A22" s="21" t="s">
        <v>50</v>
      </c>
      <c r="B22" s="3" t="s">
        <v>51</v>
      </c>
      <c r="C22" s="23">
        <v>67060</v>
      </c>
      <c r="D22" s="3" t="s">
        <v>52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F38E-CFCF-4AA7-A24E-A2833576A0C0}">
  <dimension ref="A1:G21"/>
  <sheetViews>
    <sheetView topLeftCell="A2" workbookViewId="0">
      <selection activeCell="D6" sqref="D6"/>
    </sheetView>
  </sheetViews>
  <sheetFormatPr defaultRowHeight="15"/>
  <cols>
    <col min="1" max="1" width="12.5703125" customWidth="1"/>
    <col min="2" max="2" width="16.7109375" customWidth="1"/>
    <col min="7" max="7" width="12.5703125" customWidth="1"/>
  </cols>
  <sheetData>
    <row r="1" spans="1:7" ht="17.25">
      <c r="A1" s="34" t="s">
        <v>57</v>
      </c>
      <c r="B1" s="34" t="s">
        <v>58</v>
      </c>
      <c r="C1" s="34" t="s">
        <v>59</v>
      </c>
      <c r="D1" s="34" t="s">
        <v>60</v>
      </c>
      <c r="E1" s="34" t="s">
        <v>61</v>
      </c>
      <c r="F1" s="34" t="s">
        <v>62</v>
      </c>
      <c r="G1" s="35" t="s">
        <v>63</v>
      </c>
    </row>
    <row r="2" spans="1:7" ht="17.25">
      <c r="A2" s="36">
        <v>1</v>
      </c>
      <c r="B2" s="36" t="s">
        <v>64</v>
      </c>
      <c r="C2" s="36">
        <v>78</v>
      </c>
      <c r="D2" s="36">
        <v>82</v>
      </c>
      <c r="E2" s="36">
        <v>74</v>
      </c>
      <c r="F2" s="36">
        <v>234</v>
      </c>
      <c r="G2" s="37">
        <v>0.78</v>
      </c>
    </row>
    <row r="3" spans="1:7" ht="17.25">
      <c r="A3" s="36">
        <v>2</v>
      </c>
      <c r="B3" s="36" t="s">
        <v>65</v>
      </c>
      <c r="C3" s="36">
        <v>65</v>
      </c>
      <c r="D3" s="36">
        <v>70</v>
      </c>
      <c r="E3" s="36">
        <v>68</v>
      </c>
      <c r="F3" s="36">
        <v>203</v>
      </c>
      <c r="G3" s="37">
        <v>0.67666666666666664</v>
      </c>
    </row>
    <row r="4" spans="1:7" ht="17.25">
      <c r="A4" s="36">
        <v>3</v>
      </c>
      <c r="B4" s="36" t="s">
        <v>66</v>
      </c>
      <c r="C4" s="36">
        <v>90</v>
      </c>
      <c r="D4" s="36">
        <v>88</v>
      </c>
      <c r="E4" s="36">
        <v>92</v>
      </c>
      <c r="F4" s="36">
        <v>270</v>
      </c>
      <c r="G4" s="37">
        <v>0.9</v>
      </c>
    </row>
    <row r="5" spans="1:7" ht="17.25">
      <c r="A5" s="36">
        <v>4</v>
      </c>
      <c r="B5" s="36" t="s">
        <v>67</v>
      </c>
      <c r="C5" s="36">
        <v>35</v>
      </c>
      <c r="D5" s="36">
        <v>40</v>
      </c>
      <c r="E5" s="36">
        <v>38</v>
      </c>
      <c r="F5" s="36">
        <v>113</v>
      </c>
      <c r="G5" s="37">
        <v>0.37666666666666665</v>
      </c>
    </row>
    <row r="6" spans="1:7" ht="17.25">
      <c r="A6" s="36">
        <v>5</v>
      </c>
      <c r="B6" s="36" t="s">
        <v>68</v>
      </c>
      <c r="C6" s="38">
        <v>55</v>
      </c>
      <c r="D6" s="38">
        <v>60</v>
      </c>
      <c r="E6" s="38">
        <v>58</v>
      </c>
      <c r="F6" s="38">
        <v>173</v>
      </c>
      <c r="G6" s="39">
        <v>0.57666666666666666</v>
      </c>
    </row>
    <row r="7" spans="1:7" ht="17.25">
      <c r="A7" s="36">
        <v>6</v>
      </c>
      <c r="B7" s="40" t="s">
        <v>64</v>
      </c>
      <c r="C7" s="31">
        <v>76</v>
      </c>
      <c r="D7" s="31">
        <v>75</v>
      </c>
      <c r="E7" s="31">
        <v>79</v>
      </c>
      <c r="F7" s="31">
        <f>SUM(C7:D7:E7)</f>
        <v>230</v>
      </c>
      <c r="G7" s="32">
        <f>F7/300</f>
        <v>0.76666666666666672</v>
      </c>
    </row>
    <row r="8" spans="1:7" ht="17.25">
      <c r="A8" s="36">
        <v>7</v>
      </c>
      <c r="B8" s="40" t="s">
        <v>65</v>
      </c>
      <c r="C8" s="31">
        <v>97</v>
      </c>
      <c r="D8" s="31">
        <v>84</v>
      </c>
      <c r="E8" s="31">
        <v>82</v>
      </c>
      <c r="F8" s="31">
        <f>SUM(C8:D8:E8)</f>
        <v>263</v>
      </c>
      <c r="G8" s="32">
        <f t="shared" ref="G8:G21" si="0">F8/300</f>
        <v>0.87666666666666671</v>
      </c>
    </row>
    <row r="9" spans="1:7" ht="17.25">
      <c r="A9" s="36">
        <v>8</v>
      </c>
      <c r="B9" s="40" t="s">
        <v>66</v>
      </c>
      <c r="C9" s="31">
        <v>94</v>
      </c>
      <c r="D9" s="31">
        <v>83</v>
      </c>
      <c r="E9" s="31">
        <v>95</v>
      </c>
      <c r="F9" s="31">
        <f>SUM(C9:D9:E9)</f>
        <v>272</v>
      </c>
      <c r="G9" s="32">
        <f t="shared" si="0"/>
        <v>0.90666666666666662</v>
      </c>
    </row>
    <row r="10" spans="1:7" ht="17.25">
      <c r="A10" s="36">
        <v>9</v>
      </c>
      <c r="B10" s="40" t="s">
        <v>67</v>
      </c>
      <c r="C10" s="31">
        <v>56</v>
      </c>
      <c r="D10" s="31">
        <v>83</v>
      </c>
      <c r="E10" s="31">
        <v>45</v>
      </c>
      <c r="F10" s="31">
        <f>SUM(C10:D10:E10)</f>
        <v>184</v>
      </c>
      <c r="G10" s="32">
        <f t="shared" si="0"/>
        <v>0.61333333333333329</v>
      </c>
    </row>
    <row r="11" spans="1:7" ht="17.25">
      <c r="A11" s="36">
        <v>10</v>
      </c>
      <c r="B11" s="40" t="s">
        <v>68</v>
      </c>
      <c r="C11" s="31">
        <v>97</v>
      </c>
      <c r="D11" s="31">
        <v>44</v>
      </c>
      <c r="E11" s="31">
        <v>63</v>
      </c>
      <c r="F11" s="31">
        <f>SUM(C11:D11:E11)</f>
        <v>204</v>
      </c>
      <c r="G11" s="32">
        <f t="shared" si="0"/>
        <v>0.68</v>
      </c>
    </row>
    <row r="12" spans="1:7" ht="17.25">
      <c r="A12" s="36">
        <v>11</v>
      </c>
      <c r="B12" s="40" t="s">
        <v>64</v>
      </c>
      <c r="C12" s="31">
        <v>93</v>
      </c>
      <c r="D12" s="31">
        <v>72</v>
      </c>
      <c r="E12" s="31">
        <v>55</v>
      </c>
      <c r="F12" s="31">
        <f>SUM(C12:D12:E12)</f>
        <v>220</v>
      </c>
      <c r="G12" s="32">
        <f t="shared" si="0"/>
        <v>0.73333333333333328</v>
      </c>
    </row>
    <row r="13" spans="1:7" ht="17.25">
      <c r="A13" s="36">
        <v>12</v>
      </c>
      <c r="B13" s="40" t="s">
        <v>65</v>
      </c>
      <c r="C13" s="31">
        <v>80</v>
      </c>
      <c r="D13" s="31">
        <v>72</v>
      </c>
      <c r="E13" s="31">
        <v>82</v>
      </c>
      <c r="F13" s="31">
        <f>SUM(C13:D13:E13)</f>
        <v>234</v>
      </c>
      <c r="G13" s="32">
        <f t="shared" si="0"/>
        <v>0.78</v>
      </c>
    </row>
    <row r="14" spans="1:7" ht="17.25">
      <c r="A14" s="36">
        <v>13</v>
      </c>
      <c r="B14" s="40" t="s">
        <v>66</v>
      </c>
      <c r="C14" s="31">
        <v>57</v>
      </c>
      <c r="D14" s="31">
        <v>81</v>
      </c>
      <c r="E14" s="31">
        <v>51</v>
      </c>
      <c r="F14" s="31">
        <f>SUM(C14:D14:E14)</f>
        <v>189</v>
      </c>
      <c r="G14" s="32">
        <f t="shared" si="0"/>
        <v>0.63</v>
      </c>
    </row>
    <row r="15" spans="1:7" ht="17.25">
      <c r="A15" s="36">
        <v>14</v>
      </c>
      <c r="B15" s="40" t="s">
        <v>67</v>
      </c>
      <c r="C15" s="31">
        <v>44</v>
      </c>
      <c r="D15" s="31">
        <v>50</v>
      </c>
      <c r="E15" s="31">
        <v>49</v>
      </c>
      <c r="F15" s="31">
        <f>SUM(C15:D15:E15)</f>
        <v>143</v>
      </c>
      <c r="G15" s="32">
        <f t="shared" si="0"/>
        <v>0.47666666666666668</v>
      </c>
    </row>
    <row r="16" spans="1:7" ht="17.25">
      <c r="A16" s="36">
        <v>15</v>
      </c>
      <c r="B16" s="40" t="s">
        <v>68</v>
      </c>
      <c r="C16" s="31">
        <v>46</v>
      </c>
      <c r="D16" s="31">
        <v>91</v>
      </c>
      <c r="E16" s="31">
        <v>94</v>
      </c>
      <c r="F16" s="31">
        <f>SUM(C16:D16:E16)</f>
        <v>231</v>
      </c>
      <c r="G16" s="32">
        <f t="shared" si="0"/>
        <v>0.77</v>
      </c>
    </row>
    <row r="17" spans="1:7" ht="17.25">
      <c r="A17" s="36">
        <v>16</v>
      </c>
      <c r="B17" s="40" t="s">
        <v>64</v>
      </c>
      <c r="C17" s="31">
        <v>89</v>
      </c>
      <c r="D17" s="31">
        <v>86</v>
      </c>
      <c r="E17" s="31">
        <v>62</v>
      </c>
      <c r="F17" s="31">
        <f>SUM(C17:D17:E17)</f>
        <v>237</v>
      </c>
      <c r="G17" s="32">
        <f t="shared" si="0"/>
        <v>0.79</v>
      </c>
    </row>
    <row r="18" spans="1:7" ht="17.25">
      <c r="A18" s="36">
        <v>17</v>
      </c>
      <c r="B18" s="40" t="s">
        <v>65</v>
      </c>
      <c r="C18" s="31">
        <v>99</v>
      </c>
      <c r="D18" s="31">
        <v>87</v>
      </c>
      <c r="E18" s="31">
        <v>53</v>
      </c>
      <c r="F18" s="31">
        <f>SUM(C18:D18:E18)</f>
        <v>239</v>
      </c>
      <c r="G18" s="32">
        <f t="shared" si="0"/>
        <v>0.79666666666666663</v>
      </c>
    </row>
    <row r="19" spans="1:7" ht="17.25">
      <c r="A19" s="36">
        <v>18</v>
      </c>
      <c r="B19" s="40" t="s">
        <v>66</v>
      </c>
      <c r="C19" s="31">
        <v>94</v>
      </c>
      <c r="D19" s="31">
        <v>89</v>
      </c>
      <c r="E19" s="31">
        <v>55</v>
      </c>
      <c r="F19" s="31">
        <f>SUM(C19:D19:E19)</f>
        <v>238</v>
      </c>
      <c r="G19" s="32">
        <f t="shared" si="0"/>
        <v>0.79333333333333333</v>
      </c>
    </row>
    <row r="20" spans="1:7" ht="17.25">
      <c r="A20" s="36">
        <v>19</v>
      </c>
      <c r="B20" s="40" t="s">
        <v>67</v>
      </c>
      <c r="C20" s="31">
        <v>90</v>
      </c>
      <c r="D20" s="31">
        <v>55</v>
      </c>
      <c r="E20" s="31">
        <v>41</v>
      </c>
      <c r="F20" s="31">
        <f>SUM(C20:D20:E20)</f>
        <v>186</v>
      </c>
      <c r="G20" s="32">
        <f t="shared" si="0"/>
        <v>0.62</v>
      </c>
    </row>
    <row r="21" spans="1:7" ht="17.25">
      <c r="A21" s="36">
        <v>20</v>
      </c>
      <c r="B21" s="40" t="s">
        <v>68</v>
      </c>
      <c r="C21" s="31">
        <v>92</v>
      </c>
      <c r="D21" s="31">
        <v>86</v>
      </c>
      <c r="E21" s="31">
        <v>97</v>
      </c>
      <c r="F21" s="31">
        <f>SUM(C21:D21:E21)</f>
        <v>275</v>
      </c>
      <c r="G21" s="32">
        <f t="shared" si="0"/>
        <v>0.91666666666666663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0340-C4C5-4761-BF01-050B63F91156}">
  <dimension ref="A1:G21"/>
  <sheetViews>
    <sheetView workbookViewId="0">
      <selection activeCell="G3" sqref="G3"/>
    </sheetView>
  </sheetViews>
  <sheetFormatPr defaultRowHeight="15"/>
  <cols>
    <col min="1" max="1" width="16.5703125" customWidth="1"/>
    <col min="2" max="2" width="15" customWidth="1"/>
    <col min="3" max="3" width="24.42578125" customWidth="1"/>
    <col min="4" max="4" width="14.85546875" customWidth="1"/>
    <col min="5" max="5" width="15.140625" bestFit="1" customWidth="1"/>
    <col min="6" max="6" width="14" bestFit="1" customWidth="1"/>
    <col min="7" max="7" width="12.28515625" customWidth="1"/>
  </cols>
  <sheetData>
    <row r="1" spans="1:7" ht="16.5">
      <c r="A1" s="41" t="s">
        <v>69</v>
      </c>
      <c r="B1" s="41" t="s">
        <v>70</v>
      </c>
      <c r="C1" s="41" t="s">
        <v>39</v>
      </c>
      <c r="D1" s="26" t="s">
        <v>71</v>
      </c>
      <c r="E1" s="27" t="s">
        <v>72</v>
      </c>
      <c r="F1" s="27" t="s">
        <v>73</v>
      </c>
      <c r="G1" s="28" t="s">
        <v>74</v>
      </c>
    </row>
    <row r="2" spans="1:7" ht="17.25">
      <c r="A2" s="1" t="s">
        <v>75</v>
      </c>
      <c r="B2" s="24">
        <v>45292</v>
      </c>
      <c r="C2" s="2">
        <v>12000</v>
      </c>
      <c r="D2" s="22">
        <v>476426</v>
      </c>
      <c r="E2" s="22">
        <f>AVERAGE(C2:C21)</f>
        <v>23821.3</v>
      </c>
      <c r="F2" s="22">
        <f>MAX(C2:C21)</f>
        <v>39685</v>
      </c>
      <c r="G2" s="22">
        <f>MIN(C2:C21)</f>
        <v>8000</v>
      </c>
    </row>
    <row r="3" spans="1:7" ht="17.25">
      <c r="A3" s="3" t="s">
        <v>76</v>
      </c>
      <c r="B3" s="25">
        <v>45352</v>
      </c>
      <c r="C3" s="6">
        <v>25000</v>
      </c>
    </row>
    <row r="4" spans="1:7" ht="17.25">
      <c r="A4" s="1" t="s">
        <v>77</v>
      </c>
      <c r="B4" s="24">
        <v>45413</v>
      </c>
      <c r="C4" s="2">
        <v>8000</v>
      </c>
    </row>
    <row r="5" spans="1:7" ht="17.25">
      <c r="A5" s="3" t="s">
        <v>78</v>
      </c>
      <c r="B5" s="25">
        <v>45505</v>
      </c>
      <c r="C5" s="6">
        <v>32000</v>
      </c>
    </row>
    <row r="6" spans="1:7" ht="17.25">
      <c r="A6" s="1" t="s">
        <v>79</v>
      </c>
      <c r="B6" s="24">
        <v>45566</v>
      </c>
      <c r="C6" s="2">
        <v>15000</v>
      </c>
    </row>
    <row r="7" spans="1:7" ht="17.25">
      <c r="A7" s="3" t="s">
        <v>80</v>
      </c>
      <c r="B7" s="25">
        <v>45627</v>
      </c>
      <c r="C7" s="22">
        <v>37893</v>
      </c>
    </row>
    <row r="8" spans="1:7" ht="17.25">
      <c r="A8" s="1" t="s">
        <v>81</v>
      </c>
      <c r="B8" s="24">
        <v>45689</v>
      </c>
      <c r="C8" s="22">
        <v>12510</v>
      </c>
    </row>
    <row r="9" spans="1:7" ht="17.25">
      <c r="A9" s="3" t="s">
        <v>82</v>
      </c>
      <c r="B9" s="25">
        <v>45748</v>
      </c>
      <c r="C9" s="22">
        <v>33849</v>
      </c>
    </row>
    <row r="10" spans="1:7" ht="17.25">
      <c r="A10" s="1" t="s">
        <v>83</v>
      </c>
      <c r="B10" s="24">
        <v>45809</v>
      </c>
      <c r="C10" s="22">
        <v>31972</v>
      </c>
    </row>
    <row r="11" spans="1:7" ht="17.25">
      <c r="A11" s="3" t="s">
        <v>84</v>
      </c>
      <c r="B11" s="25">
        <v>45870</v>
      </c>
      <c r="C11" s="22">
        <v>39685</v>
      </c>
    </row>
    <row r="12" spans="1:7" ht="17.25">
      <c r="A12" s="1" t="s">
        <v>85</v>
      </c>
      <c r="B12" s="24">
        <v>45931</v>
      </c>
      <c r="C12" s="22">
        <v>12332</v>
      </c>
    </row>
    <row r="13" spans="1:7" ht="17.25">
      <c r="A13" s="3" t="s">
        <v>86</v>
      </c>
      <c r="B13" s="25">
        <v>45992</v>
      </c>
      <c r="C13" s="22">
        <v>39523</v>
      </c>
    </row>
    <row r="14" spans="1:7" ht="17.25">
      <c r="A14" s="1" t="s">
        <v>87</v>
      </c>
      <c r="B14" s="24">
        <v>46054</v>
      </c>
      <c r="C14" s="22">
        <v>37920</v>
      </c>
    </row>
    <row r="15" spans="1:7" ht="17.25">
      <c r="A15" s="3" t="s">
        <v>88</v>
      </c>
      <c r="B15" s="25">
        <v>46113</v>
      </c>
      <c r="C15" s="22">
        <v>9802</v>
      </c>
    </row>
    <row r="16" spans="1:7" ht="17.25">
      <c r="A16" s="1" t="s">
        <v>89</v>
      </c>
      <c r="B16" s="24">
        <v>46174</v>
      </c>
      <c r="C16" s="22">
        <v>33084</v>
      </c>
    </row>
    <row r="17" spans="1:3" ht="17.25">
      <c r="A17" s="3" t="s">
        <v>90</v>
      </c>
      <c r="B17" s="25">
        <v>46235</v>
      </c>
      <c r="C17" s="22">
        <v>28195</v>
      </c>
    </row>
    <row r="18" spans="1:3" ht="17.25">
      <c r="A18" s="1" t="s">
        <v>91</v>
      </c>
      <c r="B18" s="24">
        <v>46296</v>
      </c>
      <c r="C18" s="22">
        <v>17507</v>
      </c>
    </row>
    <row r="19" spans="1:3" ht="17.25">
      <c r="A19" s="3" t="s">
        <v>92</v>
      </c>
      <c r="B19" s="25">
        <v>46357</v>
      </c>
      <c r="C19" s="22">
        <v>17329</v>
      </c>
    </row>
    <row r="20" spans="1:3" ht="17.25">
      <c r="A20" s="1" t="s">
        <v>93</v>
      </c>
      <c r="B20" s="24">
        <v>46419</v>
      </c>
      <c r="C20" s="22">
        <v>9035</v>
      </c>
    </row>
    <row r="21" spans="1:3" ht="17.25">
      <c r="A21" s="3" t="s">
        <v>94</v>
      </c>
      <c r="B21" s="25">
        <v>46478</v>
      </c>
      <c r="C21" s="22">
        <v>23790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DD12-6F70-46A6-8E41-4D9D93D7D929}">
  <dimension ref="A1:G21"/>
  <sheetViews>
    <sheetView workbookViewId="0">
      <selection activeCell="G2" sqref="G2"/>
    </sheetView>
  </sheetViews>
  <sheetFormatPr defaultRowHeight="15"/>
  <cols>
    <col min="1" max="1" width="19.42578125" customWidth="1"/>
    <col min="2" max="2" width="14.7109375" customWidth="1"/>
    <col min="3" max="3" width="14.42578125" customWidth="1"/>
    <col min="4" max="4" width="25" customWidth="1"/>
    <col min="5" max="5" width="13.7109375" customWidth="1"/>
    <col min="6" max="6" width="15.7109375" customWidth="1"/>
    <col min="7" max="7" width="23.5703125" customWidth="1"/>
  </cols>
  <sheetData>
    <row r="1" spans="1:7" ht="19.5" customHeight="1">
      <c r="A1" s="42" t="s">
        <v>95</v>
      </c>
      <c r="B1" s="42" t="s">
        <v>2</v>
      </c>
      <c r="C1" s="42" t="s">
        <v>3</v>
      </c>
      <c r="D1" s="29" t="s">
        <v>96</v>
      </c>
      <c r="E1" s="29" t="s">
        <v>62</v>
      </c>
      <c r="F1" s="29" t="s">
        <v>97</v>
      </c>
      <c r="G1" s="30" t="s">
        <v>98</v>
      </c>
    </row>
    <row r="2" spans="1:7" ht="17.25">
      <c r="A2" s="1" t="s">
        <v>99</v>
      </c>
      <c r="B2" s="1" t="s">
        <v>10</v>
      </c>
      <c r="C2" s="2">
        <v>28000</v>
      </c>
      <c r="D2" s="33">
        <v>195751</v>
      </c>
      <c r="E2" s="22">
        <v>835595</v>
      </c>
      <c r="F2" s="22">
        <v>41779.75</v>
      </c>
      <c r="G2">
        <v>20</v>
      </c>
    </row>
    <row r="3" spans="1:7" ht="17.25">
      <c r="A3" s="3" t="s">
        <v>100</v>
      </c>
      <c r="B3" s="3" t="s">
        <v>7</v>
      </c>
      <c r="C3" s="6">
        <v>45000</v>
      </c>
      <c r="D3" s="33">
        <v>210534</v>
      </c>
      <c r="E3" s="22"/>
      <c r="F3" s="22"/>
    </row>
    <row r="4" spans="1:7" ht="17.25">
      <c r="A4" s="1" t="s">
        <v>101</v>
      </c>
      <c r="B4" s="1" t="s">
        <v>7</v>
      </c>
      <c r="C4" s="2">
        <v>50000</v>
      </c>
      <c r="D4" s="33">
        <v>210534</v>
      </c>
      <c r="E4" s="22"/>
      <c r="F4" s="22"/>
    </row>
    <row r="5" spans="1:7" ht="17.25">
      <c r="A5" s="3" t="s">
        <v>102</v>
      </c>
      <c r="B5" s="3" t="s">
        <v>13</v>
      </c>
      <c r="C5" s="6">
        <v>42000</v>
      </c>
      <c r="D5" s="33">
        <v>383832</v>
      </c>
      <c r="E5" s="22"/>
      <c r="F5" s="22"/>
    </row>
    <row r="6" spans="1:7" ht="17.25">
      <c r="A6" s="1" t="s">
        <v>103</v>
      </c>
      <c r="B6" s="1" t="s">
        <v>10</v>
      </c>
      <c r="C6" s="2">
        <v>30000</v>
      </c>
      <c r="D6" s="33">
        <v>195751</v>
      </c>
      <c r="E6" s="22"/>
      <c r="F6" s="22"/>
    </row>
    <row r="7" spans="1:7" ht="17.25">
      <c r="A7" s="3" t="s">
        <v>104</v>
      </c>
      <c r="B7" s="3" t="s">
        <v>13</v>
      </c>
      <c r="C7" s="6">
        <v>38000</v>
      </c>
      <c r="D7" s="33">
        <v>383832</v>
      </c>
      <c r="E7" s="22"/>
      <c r="F7" s="22"/>
    </row>
    <row r="8" spans="1:7" ht="17.25">
      <c r="A8" s="1" t="s">
        <v>99</v>
      </c>
      <c r="B8" s="1" t="s">
        <v>7</v>
      </c>
      <c r="C8" s="22">
        <v>35760</v>
      </c>
      <c r="D8" s="33">
        <v>210534</v>
      </c>
    </row>
    <row r="9" spans="1:7" ht="17.25">
      <c r="A9" s="3" t="s">
        <v>100</v>
      </c>
      <c r="B9" s="3" t="s">
        <v>13</v>
      </c>
      <c r="C9" s="22">
        <v>36804</v>
      </c>
      <c r="D9" s="33">
        <v>383832</v>
      </c>
    </row>
    <row r="10" spans="1:7" ht="17.25">
      <c r="A10" s="1" t="s">
        <v>101</v>
      </c>
      <c r="B10" s="1" t="s">
        <v>10</v>
      </c>
      <c r="C10" s="22">
        <v>36460</v>
      </c>
      <c r="D10" s="33">
        <v>195751</v>
      </c>
    </row>
    <row r="11" spans="1:7" ht="17.25">
      <c r="A11" s="3" t="s">
        <v>102</v>
      </c>
      <c r="B11" s="3" t="s">
        <v>13</v>
      </c>
      <c r="C11" s="22">
        <v>56184</v>
      </c>
      <c r="D11" s="33">
        <v>383832</v>
      </c>
    </row>
    <row r="12" spans="1:7" ht="17.25">
      <c r="A12" s="1" t="s">
        <v>103</v>
      </c>
      <c r="B12" s="1" t="s">
        <v>7</v>
      </c>
      <c r="C12" s="22">
        <v>39539</v>
      </c>
      <c r="D12" s="33">
        <v>210534</v>
      </c>
    </row>
    <row r="13" spans="1:7" ht="17.25">
      <c r="A13" s="3" t="s">
        <v>104</v>
      </c>
      <c r="B13" s="3" t="s">
        <v>13</v>
      </c>
      <c r="C13" s="22">
        <v>59497</v>
      </c>
      <c r="D13" s="33">
        <v>383832</v>
      </c>
    </row>
    <row r="14" spans="1:7" ht="17.25">
      <c r="A14" s="1" t="s">
        <v>99</v>
      </c>
      <c r="B14" s="1" t="s">
        <v>10</v>
      </c>
      <c r="C14" s="22">
        <v>48091</v>
      </c>
      <c r="D14" s="33">
        <v>195751</v>
      </c>
    </row>
    <row r="15" spans="1:7" ht="17.25">
      <c r="A15" s="3" t="s">
        <v>100</v>
      </c>
      <c r="B15" s="3" t="s">
        <v>13</v>
      </c>
      <c r="C15" s="22">
        <v>58614</v>
      </c>
      <c r="D15" s="33">
        <v>383832</v>
      </c>
    </row>
    <row r="16" spans="1:7" ht="17.25">
      <c r="A16" s="1" t="s">
        <v>101</v>
      </c>
      <c r="B16" s="1" t="s">
        <v>7</v>
      </c>
      <c r="C16" s="22">
        <v>39903</v>
      </c>
      <c r="D16" s="33">
        <v>210534</v>
      </c>
    </row>
    <row r="17" spans="1:4" ht="17.25">
      <c r="A17" s="3" t="s">
        <v>102</v>
      </c>
      <c r="B17" s="3" t="s">
        <v>13</v>
      </c>
      <c r="C17" s="22">
        <v>31301</v>
      </c>
      <c r="D17" s="33">
        <v>383832</v>
      </c>
    </row>
    <row r="18" spans="1:4" ht="17.25">
      <c r="A18" s="1" t="s">
        <v>103</v>
      </c>
      <c r="B18" s="1" t="s">
        <v>10</v>
      </c>
      <c r="C18" s="22">
        <v>30537</v>
      </c>
      <c r="D18" s="33">
        <v>195751</v>
      </c>
    </row>
    <row r="19" spans="1:4" ht="17.25">
      <c r="A19" s="3" t="s">
        <v>104</v>
      </c>
      <c r="B19" s="3" t="s">
        <v>13</v>
      </c>
      <c r="C19" s="22">
        <v>35477</v>
      </c>
      <c r="D19" s="33">
        <v>383832</v>
      </c>
    </row>
    <row r="20" spans="1:4" ht="17.25">
      <c r="A20" s="1" t="s">
        <v>99</v>
      </c>
      <c r="B20" s="1" t="s">
        <v>7</v>
      </c>
      <c r="C20" s="22">
        <v>36438</v>
      </c>
      <c r="D20" s="33">
        <v>210534</v>
      </c>
    </row>
    <row r="21" spans="1:4" ht="17.25">
      <c r="A21" s="3" t="s">
        <v>100</v>
      </c>
      <c r="B21" s="3" t="s">
        <v>13</v>
      </c>
      <c r="C21" s="22">
        <v>54145</v>
      </c>
      <c r="D21" s="33">
        <v>383832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A500-1719-433F-B9AC-D818C9CF1FFF}">
  <dimension ref="A1:J21"/>
  <sheetViews>
    <sheetView workbookViewId="0">
      <selection activeCell="J3" sqref="J3"/>
    </sheetView>
  </sheetViews>
  <sheetFormatPr defaultRowHeight="15"/>
  <cols>
    <col min="1" max="1" width="19.7109375" customWidth="1"/>
    <col min="7" max="7" width="13.5703125" customWidth="1"/>
    <col min="8" max="8" width="11.42578125" bestFit="1" customWidth="1"/>
    <col min="9" max="9" width="17.140625" bestFit="1" customWidth="1"/>
  </cols>
  <sheetData>
    <row r="1" spans="1:10" ht="33.75">
      <c r="A1" s="1" t="s">
        <v>58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t="s">
        <v>110</v>
      </c>
      <c r="H1" t="s">
        <v>111</v>
      </c>
      <c r="I1" t="s">
        <v>112</v>
      </c>
      <c r="J1" t="s">
        <v>113</v>
      </c>
    </row>
    <row r="2" spans="1:10" ht="17.25">
      <c r="A2" s="1" t="s">
        <v>64</v>
      </c>
      <c r="B2" s="1" t="s">
        <v>114</v>
      </c>
      <c r="C2" s="1" t="s">
        <v>115</v>
      </c>
      <c r="D2" s="1" t="s">
        <v>114</v>
      </c>
      <c r="E2" s="1" t="s">
        <v>114</v>
      </c>
      <c r="F2" s="1" t="s">
        <v>114</v>
      </c>
      <c r="G2">
        <f>COUNTIF(B2:F2,"P")</f>
        <v>4</v>
      </c>
      <c r="H2">
        <f>COUNTIF(B2:F2,"A")</f>
        <v>1</v>
      </c>
      <c r="I2">
        <f>COUNTIF(B2:F21,"P")</f>
        <v>70</v>
      </c>
      <c r="J2">
        <f>COUNTIF(B2:F21,"A")</f>
        <v>30</v>
      </c>
    </row>
    <row r="3" spans="1:10" ht="17.25">
      <c r="A3" s="3" t="s">
        <v>65</v>
      </c>
      <c r="B3" s="3" t="s">
        <v>114</v>
      </c>
      <c r="C3" s="3" t="s">
        <v>114</v>
      </c>
      <c r="D3" s="3" t="s">
        <v>114</v>
      </c>
      <c r="E3" s="3" t="s">
        <v>115</v>
      </c>
      <c r="F3" s="3" t="s">
        <v>114</v>
      </c>
      <c r="G3">
        <f>COUNTIF(B3:F3,"P")</f>
        <v>4</v>
      </c>
      <c r="H3">
        <f t="shared" ref="H3:H21" si="0">COUNTIF(B3:F3,"A")</f>
        <v>1</v>
      </c>
    </row>
    <row r="4" spans="1:10" ht="17.25">
      <c r="A4" s="1" t="s">
        <v>66</v>
      </c>
      <c r="B4" s="1" t="s">
        <v>115</v>
      </c>
      <c r="C4" s="1" t="s">
        <v>114</v>
      </c>
      <c r="D4" s="1" t="s">
        <v>114</v>
      </c>
      <c r="E4" s="1" t="s">
        <v>114</v>
      </c>
      <c r="F4" s="1" t="s">
        <v>114</v>
      </c>
      <c r="G4">
        <f t="shared" ref="G4:G21" si="1">COUNTIF(B4:F4,"P")</f>
        <v>4</v>
      </c>
      <c r="H4">
        <f t="shared" si="0"/>
        <v>1</v>
      </c>
    </row>
    <row r="5" spans="1:10" ht="17.25">
      <c r="A5" s="3" t="s">
        <v>67</v>
      </c>
      <c r="B5" s="3" t="s">
        <v>114</v>
      </c>
      <c r="C5" s="3" t="s">
        <v>115</v>
      </c>
      <c r="D5" s="3" t="s">
        <v>115</v>
      </c>
      <c r="E5" s="3" t="s">
        <v>114</v>
      </c>
      <c r="F5" s="3" t="s">
        <v>115</v>
      </c>
      <c r="G5">
        <f t="shared" si="1"/>
        <v>2</v>
      </c>
      <c r="H5">
        <f t="shared" si="0"/>
        <v>3</v>
      </c>
    </row>
    <row r="6" spans="1:10" ht="17.25">
      <c r="A6" t="s">
        <v>116</v>
      </c>
      <c r="B6" s="1" t="s">
        <v>114</v>
      </c>
      <c r="C6" s="1" t="s">
        <v>115</v>
      </c>
      <c r="D6" s="1" t="s">
        <v>114</v>
      </c>
      <c r="E6" s="1" t="s">
        <v>114</v>
      </c>
      <c r="F6" s="1" t="s">
        <v>114</v>
      </c>
      <c r="G6">
        <f t="shared" si="1"/>
        <v>4</v>
      </c>
      <c r="H6">
        <f t="shared" si="0"/>
        <v>1</v>
      </c>
    </row>
    <row r="7" spans="1:10" ht="17.25">
      <c r="A7" t="s">
        <v>117</v>
      </c>
      <c r="B7" s="3" t="s">
        <v>114</v>
      </c>
      <c r="C7" s="3" t="s">
        <v>114</v>
      </c>
      <c r="D7" s="3" t="s">
        <v>114</v>
      </c>
      <c r="E7" s="3" t="s">
        <v>115</v>
      </c>
      <c r="F7" s="3" t="s">
        <v>114</v>
      </c>
      <c r="G7">
        <f t="shared" si="1"/>
        <v>4</v>
      </c>
      <c r="H7">
        <f t="shared" si="0"/>
        <v>1</v>
      </c>
    </row>
    <row r="8" spans="1:10" ht="17.25">
      <c r="A8" t="s">
        <v>118</v>
      </c>
      <c r="B8" s="1" t="s">
        <v>115</v>
      </c>
      <c r="C8" s="1" t="s">
        <v>114</v>
      </c>
      <c r="D8" s="1" t="s">
        <v>114</v>
      </c>
      <c r="E8" s="1" t="s">
        <v>114</v>
      </c>
      <c r="F8" s="1" t="s">
        <v>114</v>
      </c>
      <c r="G8">
        <f t="shared" si="1"/>
        <v>4</v>
      </c>
      <c r="H8">
        <f t="shared" si="0"/>
        <v>1</v>
      </c>
    </row>
    <row r="9" spans="1:10" ht="17.25">
      <c r="A9" t="s">
        <v>119</v>
      </c>
      <c r="B9" s="3" t="s">
        <v>114</v>
      </c>
      <c r="C9" s="3" t="s">
        <v>115</v>
      </c>
      <c r="D9" s="3" t="s">
        <v>115</v>
      </c>
      <c r="E9" s="3" t="s">
        <v>114</v>
      </c>
      <c r="F9" s="3" t="s">
        <v>115</v>
      </c>
      <c r="G9">
        <f t="shared" si="1"/>
        <v>2</v>
      </c>
      <c r="H9">
        <f t="shared" si="0"/>
        <v>3</v>
      </c>
    </row>
    <row r="10" spans="1:10" ht="17.25">
      <c r="A10" t="s">
        <v>120</v>
      </c>
      <c r="B10" s="1" t="s">
        <v>114</v>
      </c>
      <c r="C10" s="1" t="s">
        <v>115</v>
      </c>
      <c r="D10" s="1" t="s">
        <v>114</v>
      </c>
      <c r="E10" s="1" t="s">
        <v>114</v>
      </c>
      <c r="F10" s="1" t="s">
        <v>114</v>
      </c>
      <c r="G10">
        <f t="shared" si="1"/>
        <v>4</v>
      </c>
      <c r="H10">
        <f t="shared" si="0"/>
        <v>1</v>
      </c>
    </row>
    <row r="11" spans="1:10" ht="17.25">
      <c r="A11" s="1" t="s">
        <v>64</v>
      </c>
      <c r="B11" s="3" t="s">
        <v>114</v>
      </c>
      <c r="C11" s="3" t="s">
        <v>114</v>
      </c>
      <c r="D11" s="3" t="s">
        <v>114</v>
      </c>
      <c r="E11" s="3" t="s">
        <v>115</v>
      </c>
      <c r="F11" s="3" t="s">
        <v>114</v>
      </c>
      <c r="G11">
        <f t="shared" si="1"/>
        <v>4</v>
      </c>
      <c r="H11">
        <f t="shared" si="0"/>
        <v>1</v>
      </c>
    </row>
    <row r="12" spans="1:10" ht="17.25">
      <c r="A12" s="3" t="s">
        <v>65</v>
      </c>
      <c r="B12" s="1" t="s">
        <v>115</v>
      </c>
      <c r="C12" s="1" t="s">
        <v>114</v>
      </c>
      <c r="D12" s="1" t="s">
        <v>114</v>
      </c>
      <c r="E12" s="1" t="s">
        <v>114</v>
      </c>
      <c r="F12" s="1" t="s">
        <v>114</v>
      </c>
      <c r="G12">
        <f t="shared" si="1"/>
        <v>4</v>
      </c>
      <c r="H12">
        <f t="shared" si="0"/>
        <v>1</v>
      </c>
    </row>
    <row r="13" spans="1:10" ht="17.25">
      <c r="A13" s="1" t="s">
        <v>66</v>
      </c>
      <c r="B13" s="3" t="s">
        <v>114</v>
      </c>
      <c r="C13" s="3" t="s">
        <v>115</v>
      </c>
      <c r="D13" s="3" t="s">
        <v>115</v>
      </c>
      <c r="E13" s="3" t="s">
        <v>114</v>
      </c>
      <c r="F13" s="3" t="s">
        <v>115</v>
      </c>
      <c r="G13">
        <f t="shared" si="1"/>
        <v>2</v>
      </c>
      <c r="H13">
        <f t="shared" si="0"/>
        <v>3</v>
      </c>
    </row>
    <row r="14" spans="1:10" ht="17.25">
      <c r="A14" s="3" t="s">
        <v>67</v>
      </c>
      <c r="B14" s="1" t="s">
        <v>114</v>
      </c>
      <c r="C14" s="1" t="s">
        <v>115</v>
      </c>
      <c r="D14" s="1" t="s">
        <v>114</v>
      </c>
      <c r="E14" s="1" t="s">
        <v>114</v>
      </c>
      <c r="F14" s="1" t="s">
        <v>114</v>
      </c>
      <c r="G14">
        <f t="shared" si="1"/>
        <v>4</v>
      </c>
      <c r="H14">
        <f t="shared" si="0"/>
        <v>1</v>
      </c>
    </row>
    <row r="15" spans="1:10" ht="17.25">
      <c r="A15" t="s">
        <v>116</v>
      </c>
      <c r="B15" s="3" t="s">
        <v>114</v>
      </c>
      <c r="C15" s="3" t="s">
        <v>114</v>
      </c>
      <c r="D15" s="3" t="s">
        <v>114</v>
      </c>
      <c r="E15" s="3" t="s">
        <v>115</v>
      </c>
      <c r="F15" s="3" t="s">
        <v>114</v>
      </c>
      <c r="G15">
        <f t="shared" si="1"/>
        <v>4</v>
      </c>
      <c r="H15">
        <f t="shared" si="0"/>
        <v>1</v>
      </c>
    </row>
    <row r="16" spans="1:10" ht="17.25">
      <c r="A16" t="s">
        <v>117</v>
      </c>
      <c r="B16" s="1" t="s">
        <v>115</v>
      </c>
      <c r="C16" s="1" t="s">
        <v>114</v>
      </c>
      <c r="D16" s="1" t="s">
        <v>114</v>
      </c>
      <c r="E16" s="1" t="s">
        <v>114</v>
      </c>
      <c r="F16" s="1" t="s">
        <v>114</v>
      </c>
      <c r="G16">
        <f t="shared" si="1"/>
        <v>4</v>
      </c>
      <c r="H16">
        <f t="shared" si="0"/>
        <v>1</v>
      </c>
    </row>
    <row r="17" spans="1:8" ht="17.25">
      <c r="A17" t="s">
        <v>118</v>
      </c>
      <c r="B17" s="3" t="s">
        <v>114</v>
      </c>
      <c r="C17" s="3" t="s">
        <v>115</v>
      </c>
      <c r="D17" s="3" t="s">
        <v>115</v>
      </c>
      <c r="E17" s="3" t="s">
        <v>114</v>
      </c>
      <c r="F17" s="3" t="s">
        <v>115</v>
      </c>
      <c r="G17">
        <f t="shared" si="1"/>
        <v>2</v>
      </c>
      <c r="H17">
        <f t="shared" si="0"/>
        <v>3</v>
      </c>
    </row>
    <row r="18" spans="1:8" ht="17.25">
      <c r="A18" t="s">
        <v>119</v>
      </c>
      <c r="B18" s="1" t="s">
        <v>114</v>
      </c>
      <c r="C18" s="1" t="s">
        <v>115</v>
      </c>
      <c r="D18" s="1" t="s">
        <v>114</v>
      </c>
      <c r="E18" s="1" t="s">
        <v>114</v>
      </c>
      <c r="F18" s="1" t="s">
        <v>114</v>
      </c>
      <c r="G18">
        <f t="shared" si="1"/>
        <v>4</v>
      </c>
      <c r="H18">
        <f t="shared" si="0"/>
        <v>1</v>
      </c>
    </row>
    <row r="19" spans="1:8" ht="17.25">
      <c r="A19" t="s">
        <v>120</v>
      </c>
      <c r="B19" s="3" t="s">
        <v>114</v>
      </c>
      <c r="C19" s="3" t="s">
        <v>114</v>
      </c>
      <c r="D19" s="3" t="s">
        <v>114</v>
      </c>
      <c r="E19" s="3" t="s">
        <v>115</v>
      </c>
      <c r="F19" s="3" t="s">
        <v>114</v>
      </c>
      <c r="G19">
        <f t="shared" si="1"/>
        <v>4</v>
      </c>
      <c r="H19">
        <f t="shared" si="0"/>
        <v>1</v>
      </c>
    </row>
    <row r="20" spans="1:8" ht="17.25">
      <c r="A20" s="1" t="s">
        <v>64</v>
      </c>
      <c r="B20" s="1" t="s">
        <v>115</v>
      </c>
      <c r="C20" s="1" t="s">
        <v>114</v>
      </c>
      <c r="D20" s="1" t="s">
        <v>114</v>
      </c>
      <c r="E20" s="1" t="s">
        <v>114</v>
      </c>
      <c r="F20" s="1" t="s">
        <v>114</v>
      </c>
      <c r="G20">
        <f t="shared" si="1"/>
        <v>4</v>
      </c>
      <c r="H20">
        <f t="shared" si="0"/>
        <v>1</v>
      </c>
    </row>
    <row r="21" spans="1:8" ht="17.25">
      <c r="A21" s="3" t="s">
        <v>65</v>
      </c>
      <c r="B21" s="3" t="s">
        <v>114</v>
      </c>
      <c r="C21" s="3" t="s">
        <v>115</v>
      </c>
      <c r="D21" s="3" t="s">
        <v>115</v>
      </c>
      <c r="E21" s="3" t="s">
        <v>114</v>
      </c>
      <c r="F21" s="3" t="s">
        <v>115</v>
      </c>
      <c r="G21">
        <f t="shared" si="1"/>
        <v>2</v>
      </c>
      <c r="H21">
        <f t="shared" si="0"/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979C-480C-4A44-AB78-7E21EE39765C}">
  <dimension ref="A1:D21"/>
  <sheetViews>
    <sheetView workbookViewId="0">
      <selection activeCell="D3" sqref="D3"/>
    </sheetView>
  </sheetViews>
  <sheetFormatPr defaultRowHeight="15"/>
  <cols>
    <col min="1" max="1" width="14.28515625" customWidth="1"/>
    <col min="2" max="2" width="17.140625" customWidth="1"/>
    <col min="3" max="3" width="26" bestFit="1" customWidth="1"/>
    <col min="4" max="4" width="15.7109375" bestFit="1" customWidth="1"/>
  </cols>
  <sheetData>
    <row r="1" spans="1:4" ht="16.5">
      <c r="A1" s="1" t="s">
        <v>121</v>
      </c>
      <c r="B1" s="1" t="s">
        <v>39</v>
      </c>
      <c r="C1" s="26" t="s">
        <v>122</v>
      </c>
      <c r="D1" s="26" t="s">
        <v>123</v>
      </c>
    </row>
    <row r="2" spans="1:4" ht="17.25">
      <c r="A2" s="1" t="s">
        <v>124</v>
      </c>
      <c r="B2" s="1">
        <v>4500</v>
      </c>
      <c r="C2">
        <f>COUNTIF(B2:B21,"&gt;10000")</f>
        <v>16</v>
      </c>
      <c r="D2">
        <f>COUNTIF(B2:B21,"&lt;5000")</f>
        <v>2</v>
      </c>
    </row>
    <row r="3" spans="1:4" ht="17.25">
      <c r="A3" s="3" t="s">
        <v>125</v>
      </c>
      <c r="B3" s="3">
        <v>12000</v>
      </c>
    </row>
    <row r="4" spans="1:4" ht="17.25">
      <c r="A4" s="1" t="s">
        <v>126</v>
      </c>
      <c r="B4" s="1">
        <v>8000</v>
      </c>
    </row>
    <row r="5" spans="1:4" ht="17.25">
      <c r="A5" s="3" t="s">
        <v>127</v>
      </c>
      <c r="B5" s="3">
        <v>25000</v>
      </c>
    </row>
    <row r="6" spans="1:4" ht="17.25">
      <c r="A6" s="1" t="s">
        <v>128</v>
      </c>
      <c r="B6" s="1">
        <v>3000</v>
      </c>
    </row>
    <row r="7" spans="1:4" ht="17.25">
      <c r="A7" s="3" t="s">
        <v>129</v>
      </c>
      <c r="B7" s="3">
        <v>15000</v>
      </c>
    </row>
    <row r="8" spans="1:4" ht="17.25">
      <c r="A8" s="1" t="s">
        <v>130</v>
      </c>
      <c r="B8">
        <v>24162</v>
      </c>
    </row>
    <row r="9" spans="1:4" ht="17.25">
      <c r="A9" s="3" t="s">
        <v>131</v>
      </c>
      <c r="B9">
        <v>11956</v>
      </c>
    </row>
    <row r="10" spans="1:4" ht="17.25">
      <c r="A10" s="1" t="s">
        <v>132</v>
      </c>
      <c r="B10">
        <v>22691</v>
      </c>
    </row>
    <row r="11" spans="1:4" ht="17.25">
      <c r="A11" s="3" t="s">
        <v>133</v>
      </c>
      <c r="B11">
        <v>27784</v>
      </c>
    </row>
    <row r="12" spans="1:4" ht="17.25">
      <c r="A12" s="1" t="s">
        <v>134</v>
      </c>
      <c r="B12">
        <v>12704</v>
      </c>
    </row>
    <row r="13" spans="1:4" ht="17.25">
      <c r="A13" s="3" t="s">
        <v>135</v>
      </c>
      <c r="B13">
        <v>14080</v>
      </c>
    </row>
    <row r="14" spans="1:4" ht="17.25">
      <c r="A14" s="1" t="s">
        <v>136</v>
      </c>
      <c r="B14">
        <v>21267</v>
      </c>
    </row>
    <row r="15" spans="1:4" ht="17.25">
      <c r="A15" s="3" t="s">
        <v>137</v>
      </c>
      <c r="B15">
        <v>13620</v>
      </c>
    </row>
    <row r="16" spans="1:4" ht="17.25">
      <c r="A16" s="1" t="s">
        <v>138</v>
      </c>
      <c r="B16">
        <v>22679</v>
      </c>
    </row>
    <row r="17" spans="1:2" ht="17.25">
      <c r="A17" s="3" t="s">
        <v>139</v>
      </c>
      <c r="B17">
        <v>16939</v>
      </c>
    </row>
    <row r="18" spans="1:2" ht="17.25">
      <c r="A18" s="1" t="s">
        <v>140</v>
      </c>
      <c r="B18">
        <v>9118</v>
      </c>
    </row>
    <row r="19" spans="1:2" ht="17.25">
      <c r="A19" s="3" t="s">
        <v>141</v>
      </c>
      <c r="B19">
        <v>22441</v>
      </c>
    </row>
    <row r="20" spans="1:2" ht="17.25">
      <c r="A20" s="1" t="s">
        <v>142</v>
      </c>
      <c r="B20">
        <v>20197</v>
      </c>
    </row>
    <row r="21" spans="1:2" ht="17.25">
      <c r="A21" s="3" t="s">
        <v>143</v>
      </c>
      <c r="B21">
        <v>18327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383E-D802-47C2-91DA-40DFD4322E39}">
  <dimension ref="A1:B21"/>
  <sheetViews>
    <sheetView topLeftCell="A7" workbookViewId="0">
      <selection activeCell="D3" sqref="D3"/>
    </sheetView>
  </sheetViews>
  <sheetFormatPr defaultRowHeight="15"/>
  <cols>
    <col min="1" max="2" width="16.28515625" customWidth="1"/>
  </cols>
  <sheetData>
    <row r="1" spans="1:2" ht="36">
      <c r="A1" s="44" t="s">
        <v>144</v>
      </c>
      <c r="B1" s="44" t="s">
        <v>39</v>
      </c>
    </row>
    <row r="2" spans="1:2" ht="17.25">
      <c r="A2" s="1" t="s">
        <v>145</v>
      </c>
      <c r="B2" s="46">
        <v>22000</v>
      </c>
    </row>
    <row r="3" spans="1:2" ht="17.25">
      <c r="A3" s="3" t="s">
        <v>146</v>
      </c>
      <c r="B3" s="46">
        <v>3500</v>
      </c>
    </row>
    <row r="4" spans="1:2" ht="17.25">
      <c r="A4" s="1" t="s">
        <v>147</v>
      </c>
      <c r="B4" s="46">
        <v>58000</v>
      </c>
    </row>
    <row r="5" spans="1:2" ht="17.25">
      <c r="A5" s="3" t="s">
        <v>148</v>
      </c>
      <c r="B5" s="46">
        <v>1800</v>
      </c>
    </row>
    <row r="6" spans="1:2" ht="17.25">
      <c r="A6" s="1" t="s">
        <v>149</v>
      </c>
      <c r="B6" s="46">
        <v>12000</v>
      </c>
    </row>
    <row r="7" spans="1:2" ht="17.25">
      <c r="A7" s="1" t="s">
        <v>145</v>
      </c>
      <c r="B7">
        <v>2467</v>
      </c>
    </row>
    <row r="8" spans="1:2" ht="17.25">
      <c r="A8" s="3" t="s">
        <v>146</v>
      </c>
      <c r="B8">
        <v>9338</v>
      </c>
    </row>
    <row r="9" spans="1:2" ht="17.25">
      <c r="A9" s="1" t="s">
        <v>147</v>
      </c>
      <c r="B9">
        <v>6016</v>
      </c>
    </row>
    <row r="10" spans="1:2" ht="17.25">
      <c r="A10" s="3" t="s">
        <v>148</v>
      </c>
      <c r="B10">
        <v>9699</v>
      </c>
    </row>
    <row r="11" spans="1:2" ht="17.25">
      <c r="A11" s="1" t="s">
        <v>149</v>
      </c>
      <c r="B11">
        <v>14953</v>
      </c>
    </row>
    <row r="12" spans="1:2" ht="17.25">
      <c r="A12" s="1" t="s">
        <v>145</v>
      </c>
      <c r="B12">
        <v>11568</v>
      </c>
    </row>
    <row r="13" spans="1:2" ht="17.25">
      <c r="A13" s="3" t="s">
        <v>146</v>
      </c>
      <c r="B13">
        <v>10376</v>
      </c>
    </row>
    <row r="14" spans="1:2" ht="17.25">
      <c r="A14" s="1" t="s">
        <v>147</v>
      </c>
      <c r="B14">
        <v>7403</v>
      </c>
    </row>
    <row r="15" spans="1:2" ht="17.25">
      <c r="A15" s="3" t="s">
        <v>148</v>
      </c>
      <c r="B15">
        <v>28564</v>
      </c>
    </row>
    <row r="16" spans="1:2" ht="17.25">
      <c r="A16" s="1" t="s">
        <v>149</v>
      </c>
      <c r="B16">
        <v>15543</v>
      </c>
    </row>
    <row r="17" spans="1:2" ht="17.25">
      <c r="A17" s="1" t="s">
        <v>145</v>
      </c>
      <c r="B17">
        <v>35525</v>
      </c>
    </row>
    <row r="18" spans="1:2" ht="17.25">
      <c r="A18" s="3" t="s">
        <v>146</v>
      </c>
      <c r="B18">
        <v>32499</v>
      </c>
    </row>
    <row r="19" spans="1:2" ht="17.25">
      <c r="A19" s="1" t="s">
        <v>147</v>
      </c>
      <c r="B19">
        <v>35422</v>
      </c>
    </row>
    <row r="20" spans="1:2" ht="17.25">
      <c r="A20" s="3" t="s">
        <v>148</v>
      </c>
      <c r="B20">
        <v>22847</v>
      </c>
    </row>
    <row r="21" spans="1:2" ht="17.25">
      <c r="A21" s="1" t="s">
        <v>149</v>
      </c>
      <c r="B21">
        <v>14316</v>
      </c>
    </row>
  </sheetData>
  <conditionalFormatting sqref="B2:B6">
    <cfRule type="cellIs" dxfId="10" priority="4" operator="greaterThan">
      <formula>20000</formula>
    </cfRule>
  </conditionalFormatting>
  <conditionalFormatting sqref="B2:B6">
    <cfRule type="cellIs" dxfId="9" priority="3" operator="lessThan">
      <formula>5000</formula>
    </cfRule>
  </conditionalFormatting>
  <conditionalFormatting sqref="B6:B21">
    <cfRule type="cellIs" dxfId="8" priority="2" operator="greaterThan">
      <formula>20000</formula>
    </cfRule>
  </conditionalFormatting>
  <conditionalFormatting sqref="B6:B21">
    <cfRule type="cellIs" dxfId="7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50EC-D0E5-4ED9-82E8-BA225F45EDE4}">
  <dimension ref="A1:C21"/>
  <sheetViews>
    <sheetView workbookViewId="0">
      <selection activeCell="D8" sqref="D8"/>
    </sheetView>
  </sheetViews>
  <sheetFormatPr defaultRowHeight="15"/>
  <sheetData>
    <row r="1" spans="1:3" ht="16.5">
      <c r="A1" s="45" t="s">
        <v>57</v>
      </c>
      <c r="B1" s="45" t="s">
        <v>1</v>
      </c>
      <c r="C1" s="45" t="s">
        <v>150</v>
      </c>
    </row>
    <row r="2" spans="1:3" ht="17.25">
      <c r="A2" s="1">
        <v>1</v>
      </c>
      <c r="B2" s="1" t="s">
        <v>103</v>
      </c>
      <c r="C2" s="1">
        <v>85</v>
      </c>
    </row>
    <row r="3" spans="1:3" ht="17.25">
      <c r="A3" s="3">
        <v>2</v>
      </c>
      <c r="B3" s="3" t="s">
        <v>151</v>
      </c>
      <c r="C3" s="3">
        <v>72</v>
      </c>
    </row>
    <row r="4" spans="1:3" ht="17.25">
      <c r="A4" s="1">
        <v>3</v>
      </c>
      <c r="B4" s="1" t="s">
        <v>152</v>
      </c>
      <c r="C4" s="1">
        <v>39</v>
      </c>
    </row>
    <row r="5" spans="1:3" ht="17.25">
      <c r="A5" s="3">
        <v>4</v>
      </c>
      <c r="B5" s="3" t="s">
        <v>153</v>
      </c>
      <c r="C5" s="3">
        <v>91</v>
      </c>
    </row>
    <row r="6" spans="1:3" ht="17.25">
      <c r="A6" s="1">
        <v>5</v>
      </c>
      <c r="B6" s="1" t="s">
        <v>154</v>
      </c>
      <c r="C6" s="1">
        <v>28</v>
      </c>
    </row>
    <row r="7" spans="1:3" ht="17.25">
      <c r="A7" s="3">
        <v>6</v>
      </c>
      <c r="B7" s="1" t="s">
        <v>103</v>
      </c>
      <c r="C7">
        <v>22</v>
      </c>
    </row>
    <row r="8" spans="1:3" ht="17.25">
      <c r="A8" s="1">
        <v>7</v>
      </c>
      <c r="B8" s="3" t="s">
        <v>151</v>
      </c>
      <c r="C8">
        <v>10</v>
      </c>
    </row>
    <row r="9" spans="1:3" ht="17.25">
      <c r="A9" s="3">
        <v>8</v>
      </c>
      <c r="B9" s="1" t="s">
        <v>152</v>
      </c>
      <c r="C9">
        <v>31</v>
      </c>
    </row>
    <row r="10" spans="1:3" ht="17.25">
      <c r="A10" s="1">
        <v>9</v>
      </c>
      <c r="B10" s="3" t="s">
        <v>153</v>
      </c>
      <c r="C10">
        <v>94</v>
      </c>
    </row>
    <row r="11" spans="1:3" ht="17.25">
      <c r="A11" s="3">
        <v>10</v>
      </c>
      <c r="B11" s="1" t="s">
        <v>154</v>
      </c>
      <c r="C11">
        <v>89</v>
      </c>
    </row>
    <row r="12" spans="1:3" ht="17.25">
      <c r="A12" s="1">
        <v>11</v>
      </c>
      <c r="B12" s="1" t="s">
        <v>103</v>
      </c>
      <c r="C12">
        <v>45</v>
      </c>
    </row>
    <row r="13" spans="1:3" ht="17.25">
      <c r="A13" s="3">
        <v>12</v>
      </c>
      <c r="B13" s="3" t="s">
        <v>151</v>
      </c>
      <c r="C13">
        <v>46</v>
      </c>
    </row>
    <row r="14" spans="1:3" ht="17.25">
      <c r="A14" s="1">
        <v>13</v>
      </c>
      <c r="B14" s="1" t="s">
        <v>152</v>
      </c>
      <c r="C14">
        <v>36</v>
      </c>
    </row>
    <row r="15" spans="1:3" ht="17.25">
      <c r="A15" s="3">
        <v>14</v>
      </c>
      <c r="B15" s="3" t="s">
        <v>153</v>
      </c>
      <c r="C15">
        <v>48</v>
      </c>
    </row>
    <row r="16" spans="1:3" ht="17.25">
      <c r="A16" s="1">
        <v>15</v>
      </c>
      <c r="B16" s="1" t="s">
        <v>154</v>
      </c>
      <c r="C16">
        <v>9</v>
      </c>
    </row>
    <row r="17" spans="1:3" ht="17.25">
      <c r="A17" s="3">
        <v>16</v>
      </c>
      <c r="B17" s="1" t="s">
        <v>103</v>
      </c>
      <c r="C17">
        <v>100</v>
      </c>
    </row>
    <row r="18" spans="1:3" ht="17.25">
      <c r="A18" s="1">
        <v>17</v>
      </c>
      <c r="B18" s="3" t="s">
        <v>151</v>
      </c>
      <c r="C18">
        <v>47</v>
      </c>
    </row>
    <row r="19" spans="1:3" ht="17.25">
      <c r="A19" s="3">
        <v>18</v>
      </c>
      <c r="B19" s="1" t="s">
        <v>152</v>
      </c>
      <c r="C19">
        <v>78</v>
      </c>
    </row>
    <row r="20" spans="1:3" ht="17.25">
      <c r="A20" s="1">
        <v>19</v>
      </c>
      <c r="B20" s="3" t="s">
        <v>153</v>
      </c>
      <c r="C20">
        <v>33</v>
      </c>
    </row>
    <row r="21" spans="1:3" ht="17.25">
      <c r="A21" s="3">
        <v>20</v>
      </c>
      <c r="B21" s="1" t="s">
        <v>154</v>
      </c>
      <c r="C21">
        <v>59</v>
      </c>
    </row>
  </sheetData>
  <conditionalFormatting sqref="C2:C6">
    <cfRule type="cellIs" dxfId="6" priority="4" operator="greaterThan">
      <formula>75</formula>
    </cfRule>
  </conditionalFormatting>
  <conditionalFormatting sqref="C2:C6">
    <cfRule type="cellIs" dxfId="5" priority="3" operator="lessThan">
      <formula>40</formula>
    </cfRule>
  </conditionalFormatting>
  <conditionalFormatting sqref="C7:C21">
    <cfRule type="cellIs" dxfId="4" priority="2" operator="greaterThan">
      <formula>75</formula>
    </cfRule>
  </conditionalFormatting>
  <conditionalFormatting sqref="C7:C21">
    <cfRule type="cellIs" dxfId="3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46C9-7527-4D6A-A943-D549D151AB63}">
  <dimension ref="A1:B21"/>
  <sheetViews>
    <sheetView workbookViewId="0">
      <selection activeCell="B2" sqref="B2"/>
    </sheetView>
  </sheetViews>
  <sheetFormatPr defaultRowHeight="15"/>
  <cols>
    <col min="1" max="1" width="17.85546875" customWidth="1"/>
  </cols>
  <sheetData>
    <row r="1" spans="1:2" ht="33.75">
      <c r="A1" s="45" t="s">
        <v>95</v>
      </c>
      <c r="B1" s="45" t="s">
        <v>3</v>
      </c>
    </row>
    <row r="2" spans="1:2" ht="17.25">
      <c r="A2" s="1" t="s">
        <v>155</v>
      </c>
      <c r="B2" s="1">
        <v>28000</v>
      </c>
    </row>
    <row r="3" spans="1:2" ht="17.25">
      <c r="A3" s="3" t="s">
        <v>156</v>
      </c>
      <c r="B3" s="3">
        <v>34000</v>
      </c>
    </row>
    <row r="4" spans="1:2" ht="17.25">
      <c r="A4" s="1" t="s">
        <v>157</v>
      </c>
      <c r="B4" s="1">
        <v>51000</v>
      </c>
    </row>
    <row r="5" spans="1:2" ht="17.25">
      <c r="A5" s="3" t="s">
        <v>158</v>
      </c>
      <c r="B5" s="3">
        <v>47000</v>
      </c>
    </row>
    <row r="6" spans="1:2" ht="17.25">
      <c r="A6" s="1" t="s">
        <v>159</v>
      </c>
      <c r="B6" s="1">
        <v>29000</v>
      </c>
    </row>
    <row r="7" spans="1:2" ht="17.25">
      <c r="A7" s="1" t="s">
        <v>155</v>
      </c>
      <c r="B7">
        <v>32398</v>
      </c>
    </row>
    <row r="8" spans="1:2" ht="17.25">
      <c r="A8" s="3" t="s">
        <v>156</v>
      </c>
      <c r="B8">
        <v>37440</v>
      </c>
    </row>
    <row r="9" spans="1:2" ht="17.25">
      <c r="A9" s="1" t="s">
        <v>157</v>
      </c>
      <c r="B9">
        <v>39410</v>
      </c>
    </row>
    <row r="10" spans="1:2" ht="17.25">
      <c r="A10" s="3" t="s">
        <v>158</v>
      </c>
      <c r="B10">
        <v>30762</v>
      </c>
    </row>
    <row r="11" spans="1:2" ht="17.25">
      <c r="A11" s="1" t="s">
        <v>159</v>
      </c>
      <c r="B11">
        <v>20141</v>
      </c>
    </row>
    <row r="12" spans="1:2" ht="17.25">
      <c r="A12" s="1" t="s">
        <v>155</v>
      </c>
      <c r="B12">
        <v>27270</v>
      </c>
    </row>
    <row r="13" spans="1:2" ht="17.25">
      <c r="A13" s="3" t="s">
        <v>156</v>
      </c>
      <c r="B13">
        <v>28954</v>
      </c>
    </row>
    <row r="14" spans="1:2" ht="17.25">
      <c r="A14" s="1" t="s">
        <v>157</v>
      </c>
      <c r="B14">
        <v>59693</v>
      </c>
    </row>
    <row r="15" spans="1:2" ht="17.25">
      <c r="A15" s="3" t="s">
        <v>158</v>
      </c>
      <c r="B15">
        <v>48974</v>
      </c>
    </row>
    <row r="16" spans="1:2" ht="17.25">
      <c r="A16" s="1" t="s">
        <v>159</v>
      </c>
      <c r="B16">
        <v>41631</v>
      </c>
    </row>
    <row r="17" spans="1:2" ht="17.25">
      <c r="A17" s="1" t="s">
        <v>155</v>
      </c>
      <c r="B17">
        <v>33184</v>
      </c>
    </row>
    <row r="18" spans="1:2" ht="17.25">
      <c r="A18" s="3" t="s">
        <v>156</v>
      </c>
      <c r="B18">
        <v>59669</v>
      </c>
    </row>
    <row r="19" spans="1:2" ht="17.25">
      <c r="A19" s="1" t="s">
        <v>157</v>
      </c>
      <c r="B19">
        <v>42250</v>
      </c>
    </row>
    <row r="20" spans="1:2" ht="17.25">
      <c r="A20" s="3" t="s">
        <v>158</v>
      </c>
      <c r="B20">
        <v>53597</v>
      </c>
    </row>
    <row r="21" spans="1:2" ht="17.25">
      <c r="A21" s="1" t="s">
        <v>159</v>
      </c>
      <c r="B21">
        <v>45538</v>
      </c>
    </row>
  </sheetData>
  <conditionalFormatting sqref="B2:B21">
    <cfRule type="cellIs" dxfId="2" priority="3" operator="greaterThan">
      <formula>50000</formula>
    </cfRule>
  </conditionalFormatting>
  <conditionalFormatting sqref="B2:B21">
    <cfRule type="cellIs" dxfId="1" priority="2" operator="between">
      <formula>30000</formula>
      <formula>49999</formula>
    </cfRule>
  </conditionalFormatting>
  <conditionalFormatting sqref="B2:B21">
    <cfRule type="cellIs" dxfId="0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2026-01-28T06:12:44Z</dcterms:created>
  <dcterms:modified xsi:type="dcterms:W3CDTF">2026-01-29T06:38:22Z</dcterms:modified>
  <cp:category/>
  <cp:contentStatus/>
</cp:coreProperties>
</file>